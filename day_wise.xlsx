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tables/table2.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impy\Desktop\DIMPY\EXCEL\COVID 19 DATA\"/>
    </mc:Choice>
  </mc:AlternateContent>
  <xr:revisionPtr revIDLastSave="0" documentId="13_ncr:1_{E242EA8C-1C0D-4BE8-95A6-15BB043E5A9F}" xr6:coauthVersionLast="47" xr6:coauthVersionMax="47" xr10:uidLastSave="{00000000-0000-0000-0000-000000000000}"/>
  <bookViews>
    <workbookView xWindow="-110" yWindow="-110" windowWidth="19420" windowHeight="11500" activeTab="1" xr2:uid="{AE19B96A-FA95-499C-888A-B943A66D7E3A}"/>
  </bookViews>
  <sheets>
    <sheet name="day_wise - cleaned data" sheetId="2" r:id="rId1"/>
    <sheet name="DASHBOARD" sheetId="11" r:id="rId2"/>
    <sheet name="Pivot Table 1 - 2" sheetId="22" r:id="rId3"/>
    <sheet name="Pivot Table 1 &amp; 2" sheetId="4" state="hidden" r:id="rId4"/>
    <sheet name="Pivot Table 3 &amp; 4" sheetId="7" state="hidden" r:id="rId5"/>
    <sheet name="Pivot Table 3 - 4" sheetId="23" r:id="rId6"/>
    <sheet name="Pivot Tables 5 &amp; 6" sheetId="8" r:id="rId7"/>
    <sheet name="Pivot Table 5 - 6" sheetId="24" r:id="rId8"/>
    <sheet name="Business Analytics Questions" sheetId="18" r:id="rId9"/>
    <sheet name="Forecast Sheet " sheetId="20" r:id="rId10"/>
    <sheet name="day_wise - raw data" sheetId="1" r:id="rId11"/>
    <sheet name="Sheet1" sheetId="21" r:id="rId12"/>
  </sheets>
  <definedNames>
    <definedName name="_xlnm._FilterDatabase" localSheetId="0" hidden="1">'day_wise - cleaned data'!$A$1:$M$189</definedName>
    <definedName name="_xlcn.WorksheetConnection_day_wiserawdataAM1" hidden="1">'day_wise - raw data'!$A:$M</definedName>
    <definedName name="_xlcn.WorksheetConnection_day_wiseversion2.xlsbTable31" hidden="1">MAINTABLE[]</definedName>
    <definedName name="Slicer_Date__Month">#N/A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s>
  <extLst>
    <ext xmlns:x14="http://schemas.microsoft.com/office/spreadsheetml/2009/9/main" uri="{876F7934-8845-4945-9796-88D515C7AA90}">
      <x14:pivotCaches>
        <pivotCache cacheId="16"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day_wise (version 2).xlsb!Table3"/>
          <x15:modelTable id="Range 1" name="Range 1" connection="WorksheetConnection_day_wise - raw data!$A:$M"/>
        </x15:modelTables>
        <x15:extLst>
          <ext xmlns:x16="http://schemas.microsoft.com/office/spreadsheetml/2014/11/main" uri="{9835A34E-60A6-4A7C-AAB8-D5F71C897F49}">
            <x16:modelTimeGroupings>
              <x16:modelTimeGrouping tableName="Table3"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Range 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1" l="1"/>
  <c r="N5" i="1"/>
  <c r="N3" i="1"/>
  <c r="E224" i="20"/>
  <c r="D224" i="20"/>
  <c r="C224" i="20"/>
  <c r="E223" i="20"/>
  <c r="D223" i="20"/>
  <c r="C223" i="20"/>
  <c r="E222" i="20"/>
  <c r="D222" i="20"/>
  <c r="C222" i="20"/>
  <c r="E221" i="20"/>
  <c r="D221" i="20"/>
  <c r="C221" i="20"/>
  <c r="E220" i="20"/>
  <c r="D220" i="20"/>
  <c r="C220" i="20"/>
  <c r="E219" i="20"/>
  <c r="D219" i="20"/>
  <c r="C219" i="20"/>
  <c r="E218" i="20"/>
  <c r="D218" i="20"/>
  <c r="C218" i="20"/>
  <c r="E217" i="20"/>
  <c r="D217" i="20"/>
  <c r="C217" i="20"/>
  <c r="E216" i="20"/>
  <c r="D216" i="20"/>
  <c r="C216" i="20"/>
  <c r="E215" i="20"/>
  <c r="D215" i="20"/>
  <c r="C215" i="20"/>
  <c r="E214" i="20"/>
  <c r="D214" i="20"/>
  <c r="C214" i="20"/>
  <c r="E213" i="20"/>
  <c r="D213" i="20"/>
  <c r="C213" i="20"/>
  <c r="E212" i="20"/>
  <c r="D212" i="20"/>
  <c r="C212" i="20"/>
  <c r="E211" i="20"/>
  <c r="D211" i="20"/>
  <c r="C211" i="20"/>
  <c r="E210" i="20"/>
  <c r="D210" i="20"/>
  <c r="C210" i="20"/>
  <c r="E209" i="20"/>
  <c r="D209" i="20"/>
  <c r="C209" i="20"/>
  <c r="E208" i="20"/>
  <c r="D208" i="20"/>
  <c r="C208" i="20"/>
  <c r="E207" i="20"/>
  <c r="D207" i="20"/>
  <c r="C207" i="20"/>
  <c r="E206" i="20"/>
  <c r="D206" i="20"/>
  <c r="C206" i="20"/>
  <c r="E205" i="20"/>
  <c r="D205" i="20"/>
  <c r="C205" i="20"/>
  <c r="E204" i="20"/>
  <c r="D204" i="20"/>
  <c r="C204" i="20"/>
  <c r="E203" i="20"/>
  <c r="D203" i="20"/>
  <c r="C203" i="20"/>
  <c r="E202" i="20"/>
  <c r="D202" i="20"/>
  <c r="C202" i="20"/>
  <c r="E201" i="20"/>
  <c r="D201" i="20"/>
  <c r="C201" i="20"/>
  <c r="E200" i="20"/>
  <c r="D200" i="20"/>
  <c r="C200" i="20"/>
  <c r="E199" i="20"/>
  <c r="D199" i="20"/>
  <c r="C199" i="20"/>
  <c r="E198" i="20"/>
  <c r="D198" i="20"/>
  <c r="C198" i="20"/>
  <c r="E197" i="20"/>
  <c r="D197" i="20"/>
  <c r="C197" i="20"/>
  <c r="E196" i="20"/>
  <c r="D196" i="20"/>
  <c r="C196" i="20"/>
  <c r="E195" i="20"/>
  <c r="D195" i="20"/>
  <c r="C195" i="20"/>
  <c r="E194" i="20"/>
  <c r="D194" i="20"/>
  <c r="C194" i="20"/>
  <c r="E193" i="20"/>
  <c r="D193" i="20"/>
  <c r="C193" i="20"/>
  <c r="E192" i="20"/>
  <c r="D192" i="20"/>
  <c r="C192" i="20"/>
  <c r="E191" i="20"/>
  <c r="D191" i="20"/>
  <c r="C191" i="20"/>
  <c r="E190" i="20"/>
  <c r="D190" i="20"/>
  <c r="C190" i="20"/>
  <c r="I190" i="2"/>
  <c r="B190" i="2"/>
  <c r="P189" i="2"/>
  <c r="O189" i="2"/>
  <c r="N189" i="2"/>
  <c r="P188" i="2"/>
  <c r="O188" i="2"/>
  <c r="N188" i="2"/>
  <c r="P187" i="2"/>
  <c r="O187" i="2"/>
  <c r="N187" i="2"/>
  <c r="P186" i="2"/>
  <c r="O186" i="2"/>
  <c r="N186" i="2"/>
  <c r="P185" i="2"/>
  <c r="O185" i="2"/>
  <c r="N185" i="2"/>
  <c r="P184" i="2"/>
  <c r="O184" i="2"/>
  <c r="N184" i="2"/>
  <c r="P183" i="2"/>
  <c r="O183" i="2"/>
  <c r="N183" i="2"/>
  <c r="P182" i="2"/>
  <c r="O182" i="2"/>
  <c r="N182" i="2"/>
  <c r="P181" i="2"/>
  <c r="O181" i="2"/>
  <c r="N181" i="2"/>
  <c r="P180" i="2"/>
  <c r="O180" i="2"/>
  <c r="N180" i="2"/>
  <c r="P179" i="2"/>
  <c r="O179" i="2"/>
  <c r="N179" i="2"/>
  <c r="P178" i="2"/>
  <c r="O178" i="2"/>
  <c r="N178" i="2"/>
  <c r="P177" i="2"/>
  <c r="O177" i="2"/>
  <c r="N177" i="2"/>
  <c r="P176" i="2"/>
  <c r="O176" i="2"/>
  <c r="N176" i="2"/>
  <c r="P175" i="2"/>
  <c r="O175" i="2"/>
  <c r="N175" i="2"/>
  <c r="P174" i="2"/>
  <c r="O174" i="2"/>
  <c r="N174" i="2"/>
  <c r="P173" i="2"/>
  <c r="O173" i="2"/>
  <c r="N173" i="2"/>
  <c r="P172" i="2"/>
  <c r="O172" i="2"/>
  <c r="N172" i="2"/>
  <c r="P171" i="2"/>
  <c r="O171" i="2"/>
  <c r="N171" i="2"/>
  <c r="P170" i="2"/>
  <c r="O170" i="2"/>
  <c r="N170" i="2"/>
  <c r="P169" i="2"/>
  <c r="O169" i="2"/>
  <c r="N169" i="2"/>
  <c r="P168" i="2"/>
  <c r="O168" i="2"/>
  <c r="N168" i="2"/>
  <c r="P167" i="2"/>
  <c r="O167" i="2"/>
  <c r="N167" i="2"/>
  <c r="P166" i="2"/>
  <c r="O166" i="2"/>
  <c r="N166" i="2"/>
  <c r="P165" i="2"/>
  <c r="O165" i="2"/>
  <c r="N165" i="2"/>
  <c r="P164" i="2"/>
  <c r="O164" i="2"/>
  <c r="N164" i="2"/>
  <c r="P163" i="2"/>
  <c r="O163" i="2"/>
  <c r="N163" i="2"/>
  <c r="P162" i="2"/>
  <c r="O162" i="2"/>
  <c r="N162" i="2"/>
  <c r="P161" i="2"/>
  <c r="O161" i="2"/>
  <c r="N161" i="2"/>
  <c r="P160" i="2"/>
  <c r="O160" i="2"/>
  <c r="N160" i="2"/>
  <c r="P159" i="2"/>
  <c r="O159" i="2"/>
  <c r="N159" i="2"/>
  <c r="P158" i="2"/>
  <c r="O158" i="2"/>
  <c r="N158" i="2"/>
  <c r="P157" i="2"/>
  <c r="O157" i="2"/>
  <c r="N157" i="2"/>
  <c r="P156" i="2"/>
  <c r="O156" i="2"/>
  <c r="N156" i="2"/>
  <c r="P155" i="2"/>
  <c r="O155" i="2"/>
  <c r="N155" i="2"/>
  <c r="P154" i="2"/>
  <c r="O154" i="2"/>
  <c r="N154" i="2"/>
  <c r="P153" i="2"/>
  <c r="O153" i="2"/>
  <c r="N153" i="2"/>
  <c r="P152" i="2"/>
  <c r="O152" i="2"/>
  <c r="N152" i="2"/>
  <c r="P151" i="2"/>
  <c r="O151" i="2"/>
  <c r="N151" i="2"/>
  <c r="P150" i="2"/>
  <c r="O150" i="2"/>
  <c r="N150" i="2"/>
  <c r="P149" i="2"/>
  <c r="O149" i="2"/>
  <c r="N149" i="2"/>
  <c r="P148" i="2"/>
  <c r="O148" i="2"/>
  <c r="N148" i="2"/>
  <c r="P147" i="2"/>
  <c r="O147" i="2"/>
  <c r="N147" i="2"/>
  <c r="P146" i="2"/>
  <c r="O146" i="2"/>
  <c r="N146" i="2"/>
  <c r="P145" i="2"/>
  <c r="O145" i="2"/>
  <c r="N145" i="2"/>
  <c r="P144" i="2"/>
  <c r="O144" i="2"/>
  <c r="N144" i="2"/>
  <c r="P143" i="2"/>
  <c r="O143" i="2"/>
  <c r="N143" i="2"/>
  <c r="P142" i="2"/>
  <c r="O142" i="2"/>
  <c r="N142" i="2"/>
  <c r="P141" i="2"/>
  <c r="O141" i="2"/>
  <c r="N141" i="2"/>
  <c r="P140" i="2"/>
  <c r="O140" i="2"/>
  <c r="N140" i="2"/>
  <c r="P139" i="2"/>
  <c r="O139" i="2"/>
  <c r="N139" i="2"/>
  <c r="P138" i="2"/>
  <c r="O138" i="2"/>
  <c r="N138" i="2"/>
  <c r="P137" i="2"/>
  <c r="O137" i="2"/>
  <c r="N137" i="2"/>
  <c r="P136" i="2"/>
  <c r="O136" i="2"/>
  <c r="N136" i="2"/>
  <c r="P135" i="2"/>
  <c r="O135" i="2"/>
  <c r="N135" i="2"/>
  <c r="P134" i="2"/>
  <c r="O134" i="2"/>
  <c r="N134" i="2"/>
  <c r="P133" i="2"/>
  <c r="O133" i="2"/>
  <c r="N133" i="2"/>
  <c r="P132" i="2"/>
  <c r="O132" i="2"/>
  <c r="N132" i="2"/>
  <c r="P131" i="2"/>
  <c r="O131" i="2"/>
  <c r="N131" i="2"/>
  <c r="P130" i="2"/>
  <c r="O130" i="2"/>
  <c r="N130" i="2"/>
  <c r="P129" i="2"/>
  <c r="O129" i="2"/>
  <c r="N129" i="2"/>
  <c r="P128" i="2"/>
  <c r="O128" i="2"/>
  <c r="N128" i="2"/>
  <c r="P127" i="2"/>
  <c r="O127" i="2"/>
  <c r="N127" i="2"/>
  <c r="P126" i="2"/>
  <c r="O126" i="2"/>
  <c r="N126" i="2"/>
  <c r="P125" i="2"/>
  <c r="O125" i="2"/>
  <c r="N125" i="2"/>
  <c r="P124" i="2"/>
  <c r="O124" i="2"/>
  <c r="N124" i="2"/>
  <c r="P123" i="2"/>
  <c r="O123" i="2"/>
  <c r="N123" i="2"/>
  <c r="P122" i="2"/>
  <c r="O122" i="2"/>
  <c r="N122" i="2"/>
  <c r="P121" i="2"/>
  <c r="O121" i="2"/>
  <c r="N121" i="2"/>
  <c r="P120" i="2"/>
  <c r="O120" i="2"/>
  <c r="N120" i="2"/>
  <c r="P119" i="2"/>
  <c r="O119" i="2"/>
  <c r="N119" i="2"/>
  <c r="P118" i="2"/>
  <c r="O118" i="2"/>
  <c r="N118" i="2"/>
  <c r="P117" i="2"/>
  <c r="O117" i="2"/>
  <c r="N117" i="2"/>
  <c r="P116" i="2"/>
  <c r="O116" i="2"/>
  <c r="N116" i="2"/>
  <c r="P115" i="2"/>
  <c r="O115" i="2"/>
  <c r="N115" i="2"/>
  <c r="P114" i="2"/>
  <c r="O114" i="2"/>
  <c r="N114" i="2"/>
  <c r="P113" i="2"/>
  <c r="O113" i="2"/>
  <c r="N113" i="2"/>
  <c r="P112" i="2"/>
  <c r="O112" i="2"/>
  <c r="N112" i="2"/>
  <c r="P111" i="2"/>
  <c r="O111" i="2"/>
  <c r="N111" i="2"/>
  <c r="P110" i="2"/>
  <c r="O110" i="2"/>
  <c r="N110" i="2"/>
  <c r="P109" i="2"/>
  <c r="O109" i="2"/>
  <c r="N109" i="2"/>
  <c r="P108" i="2"/>
  <c r="O108" i="2"/>
  <c r="N108" i="2"/>
  <c r="P107" i="2"/>
  <c r="O107" i="2"/>
  <c r="N107" i="2"/>
  <c r="P106" i="2"/>
  <c r="O106" i="2"/>
  <c r="N106" i="2"/>
  <c r="P105" i="2"/>
  <c r="O105" i="2"/>
  <c r="N105" i="2"/>
  <c r="P104" i="2"/>
  <c r="O104" i="2"/>
  <c r="N104" i="2"/>
  <c r="P103" i="2"/>
  <c r="O103" i="2"/>
  <c r="N103" i="2"/>
  <c r="P102" i="2"/>
  <c r="O102" i="2"/>
  <c r="N102" i="2"/>
  <c r="P101" i="2"/>
  <c r="O101" i="2"/>
  <c r="N101" i="2"/>
  <c r="P100" i="2"/>
  <c r="O100" i="2"/>
  <c r="N100" i="2"/>
  <c r="P99" i="2"/>
  <c r="O99" i="2"/>
  <c r="N99" i="2"/>
  <c r="P98" i="2"/>
  <c r="O98" i="2"/>
  <c r="N98" i="2"/>
  <c r="P97" i="2"/>
  <c r="O97" i="2"/>
  <c r="N97" i="2"/>
  <c r="P96" i="2"/>
  <c r="O96" i="2"/>
  <c r="N96" i="2"/>
  <c r="P95" i="2"/>
  <c r="O95" i="2"/>
  <c r="N95" i="2"/>
  <c r="P94" i="2"/>
  <c r="O94" i="2"/>
  <c r="N94" i="2"/>
  <c r="P93" i="2"/>
  <c r="O93" i="2"/>
  <c r="N93" i="2"/>
  <c r="P92" i="2"/>
  <c r="O92" i="2"/>
  <c r="N92" i="2"/>
  <c r="P91" i="2"/>
  <c r="O91" i="2"/>
  <c r="N91" i="2"/>
  <c r="P90" i="2"/>
  <c r="O90" i="2"/>
  <c r="N90" i="2"/>
  <c r="P89" i="2"/>
  <c r="O89" i="2"/>
  <c r="N89" i="2"/>
  <c r="P88" i="2"/>
  <c r="O88" i="2"/>
  <c r="N88" i="2"/>
  <c r="P87" i="2"/>
  <c r="O87" i="2"/>
  <c r="N87" i="2"/>
  <c r="P86" i="2"/>
  <c r="O86" i="2"/>
  <c r="N86" i="2"/>
  <c r="P85" i="2"/>
  <c r="O85" i="2"/>
  <c r="N85" i="2"/>
  <c r="P84" i="2"/>
  <c r="O84" i="2"/>
  <c r="N84" i="2"/>
  <c r="P83" i="2"/>
  <c r="O83" i="2"/>
  <c r="N83" i="2"/>
  <c r="P82" i="2"/>
  <c r="O82" i="2"/>
  <c r="N82" i="2"/>
  <c r="P81" i="2"/>
  <c r="O81" i="2"/>
  <c r="N81" i="2"/>
  <c r="P80" i="2"/>
  <c r="O80" i="2"/>
  <c r="N80" i="2"/>
  <c r="P79" i="2"/>
  <c r="O79" i="2"/>
  <c r="N79" i="2"/>
  <c r="P78" i="2"/>
  <c r="O78" i="2"/>
  <c r="N78" i="2"/>
  <c r="P77" i="2"/>
  <c r="O77" i="2"/>
  <c r="N77" i="2"/>
  <c r="P76" i="2"/>
  <c r="O76" i="2"/>
  <c r="N76" i="2"/>
  <c r="P75" i="2"/>
  <c r="O75" i="2"/>
  <c r="N75" i="2"/>
  <c r="P74" i="2"/>
  <c r="O74" i="2"/>
  <c r="N74" i="2"/>
  <c r="P73" i="2"/>
  <c r="O73" i="2"/>
  <c r="N73" i="2"/>
  <c r="P72" i="2"/>
  <c r="O72" i="2"/>
  <c r="N72" i="2"/>
  <c r="P71" i="2"/>
  <c r="O71" i="2"/>
  <c r="N71" i="2"/>
  <c r="P70" i="2"/>
  <c r="O70" i="2"/>
  <c r="N70" i="2"/>
  <c r="P69" i="2"/>
  <c r="O69" i="2"/>
  <c r="N69" i="2"/>
  <c r="P68" i="2"/>
  <c r="O68" i="2"/>
  <c r="N68" i="2"/>
  <c r="P67" i="2"/>
  <c r="O67" i="2"/>
  <c r="N67" i="2"/>
  <c r="P66" i="2"/>
  <c r="O66" i="2"/>
  <c r="N66" i="2"/>
  <c r="P65" i="2"/>
  <c r="O65" i="2"/>
  <c r="N65" i="2"/>
  <c r="P64" i="2"/>
  <c r="O64" i="2"/>
  <c r="N64" i="2"/>
  <c r="P63" i="2"/>
  <c r="O63" i="2"/>
  <c r="N63" i="2"/>
  <c r="P62" i="2"/>
  <c r="O62" i="2"/>
  <c r="N62" i="2"/>
  <c r="P61" i="2"/>
  <c r="O61" i="2"/>
  <c r="N61" i="2"/>
  <c r="P60" i="2"/>
  <c r="O60" i="2"/>
  <c r="N60" i="2"/>
  <c r="P59" i="2"/>
  <c r="O59" i="2"/>
  <c r="N59" i="2"/>
  <c r="P58" i="2"/>
  <c r="O58" i="2"/>
  <c r="N58" i="2"/>
  <c r="P57" i="2"/>
  <c r="O57" i="2"/>
  <c r="N57" i="2"/>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P19" i="2"/>
  <c r="O19" i="2"/>
  <c r="N19" i="2"/>
  <c r="P18" i="2"/>
  <c r="O18" i="2"/>
  <c r="N18" i="2"/>
  <c r="P17" i="2"/>
  <c r="O17" i="2"/>
  <c r="N17" i="2"/>
  <c r="P16" i="2"/>
  <c r="O16" i="2"/>
  <c r="N16" i="2"/>
  <c r="P15" i="2"/>
  <c r="O15" i="2"/>
  <c r="N15" i="2"/>
  <c r="P14" i="2"/>
  <c r="O14" i="2"/>
  <c r="N14" i="2"/>
  <c r="P13" i="2"/>
  <c r="O13" i="2"/>
  <c r="N13" i="2"/>
  <c r="P12" i="2"/>
  <c r="O12" i="2"/>
  <c r="N12" i="2"/>
  <c r="P11" i="2"/>
  <c r="O11" i="2"/>
  <c r="N11" i="2"/>
  <c r="P10" i="2"/>
  <c r="O10" i="2"/>
  <c r="N10" i="2"/>
  <c r="P9" i="2"/>
  <c r="O9" i="2"/>
  <c r="N9" i="2"/>
  <c r="U8" i="2"/>
  <c r="P8" i="2"/>
  <c r="O8" i="2"/>
  <c r="N8" i="2"/>
  <c r="P7" i="2"/>
  <c r="O7" i="2"/>
  <c r="N7" i="2"/>
  <c r="P6" i="2"/>
  <c r="O6" i="2"/>
  <c r="N6" i="2"/>
  <c r="P5" i="2"/>
  <c r="O5" i="2"/>
  <c r="N5" i="2"/>
  <c r="U4" i="2"/>
  <c r="T4" i="2"/>
  <c r="P4" i="2"/>
  <c r="O4" i="2"/>
  <c r="N4" i="2"/>
  <c r="P3" i="2"/>
  <c r="O3" i="2"/>
  <c r="N3" i="2"/>
  <c r="P2" i="2"/>
  <c r="O2" i="2"/>
  <c r="N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tc={624B2195-5A8E-44C7-8D10-53CD40494A63}</author>
    <author>tc={5F603283-F6D9-4914-A188-C4C6FA4400B2}</author>
  </authors>
  <commentList>
    <comment ref="I1" authorId="0" shapeId="0" xr:uid="{624B2195-5A8E-44C7-8D10-53CD40494A63}">
      <text>
        <t>[Threaded comment]
Your version of Excel allows you to read this threaded comment; however, any edits to it will get removed if the file is opened in a newer version of Excel. Learn more: https://go.microsoft.com/fwlink/?linkid=870924
Comment:
    (Total Deaths)/(Total Confirmed Cases) * 100</t>
      </text>
    </comment>
    <comment ref="M3" authorId="1" shapeId="0" xr:uid="{5F603283-F6D9-4914-A188-C4C6FA4400B2}">
      <text>
        <t xml:space="preserve">[Threaded comment]
Your version of Excel allows you to read this threaded comment; however, any edits to it will get removed if the file is opened in a newer version of Excel. Learn more: https://go.microsoft.com/fwlink/?linkid=870924
Comment:
    15.13% of 654 = 98.9 which becomes 99 after roundup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tc={32EE5559-B475-4595-A770-13E1CEE21C39}</author>
    <author>tc={AFB9DEC5-1EDD-4D22-A113-2543B17A4A39}</author>
  </authors>
  <commentList>
    <comment ref="A3" authorId="0" shapeId="0" xr:uid="{32EE5559-B475-4595-A770-13E1CEE21C39}">
      <text>
        <t xml:space="preserve">[Threaded comment]
Your version of Excel allows you to read this threaded comment; however, any edits to it will get removed if the file is opened in a newer version of Excel. Learn more: https://go.microsoft.com/fwlink/?linkid=870924
Comment:
    This Pivot Table, titled “Monthly COVID‑19 Case Summary”, shows how the pandemic escalated rapidly: confirmed cases grew from tens of thousands in January to hundreds of millions by July, deaths and recoveries rose sharply alongside, and active cases remained extremely high, highlighting both the scale of spread and the immense ongoing burden on healthcare systems.
</t>
      </text>
    </comment>
    <comment ref="H3" authorId="1" shapeId="0" xr:uid="{AFB9DEC5-1EDD-4D22-A113-2543B17A4A39}">
      <text>
        <t>[Threaded comment]
Your version of Excel allows you to read this threaded comment; however, any edits to it will get removed if the file is opened in a newer version of Excel. Learn more: https://go.microsoft.com/fwlink/?linkid=870924
Comment:
    By looking at “Sum of new Cases” month - over - month, you can instantly see when a peak started and when it began to subside.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tc={391055A5-22FE-43B4-BD5B-AC8C5B816E23}</author>
    <author>tc={65C1B896-0C7F-4CB8-BDCD-72D55A0C8373}</author>
    <author>tc={449FBD52-1332-48B2-BA9D-4849CDBDA7D0}</author>
  </authors>
  <commentList>
    <comment ref="A2" authorId="0" shapeId="0" xr:uid="{391055A5-22FE-43B4-BD5B-AC8C5B816E23}">
      <text>
        <t xml:space="preserve">[Threaded comment]
Your version of Excel allows you to read this threaded comment; however, any edits to it will get removed if the file is opened in a newer version of Excel. Learn more: https://go.microsoft.com/fwlink/?linkid=870924
Comment:
    It indicates rapid international transmission, which is a key metric for declaring a pandemic.
</t>
      </text>
    </comment>
    <comment ref="G2" authorId="1" shapeId="0" xr:uid="{65C1B896-0C7F-4CB8-BDCD-72D55A0C8373}">
      <text>
        <t xml:space="preserve">[Threaded comment]
Your version of Excel allows you to read this threaded comment; however, any edits to it will get removed if the file is opened in a newer version of Excel. Learn more: https://go.microsoft.com/fwlink/?linkid=870924
Comment:
    -January shows very high severity (deaths far outweigh recoveries).
-Recovery rates steadily improve from March to July.
-Deaths per 100 Cases rise slowly but are overtaken by recoveries, showing better outcomes over time.
</t>
      </text>
    </comment>
    <comment ref="A26" authorId="2" shapeId="0" xr:uid="{449FBD52-1332-48B2-BA9D-4849CDBDA7D0}">
      <text>
        <t xml:space="preserve">[Threaded comment]
Your version of Excel allows you to read this threaded comment; however, any edits to it will get removed if the file is opened in a newer version of Excel. Learn more: https://go.microsoft.com/fwlink/?linkid=870924
Comment:
    It indicates rapid international transmission, which is a key metric for declaring a pandemic.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Dimpy</author>
  </authors>
  <commentList>
    <comment ref="H13" authorId="0" shapeId="0" xr:uid="{FE5C1308-E877-42EC-9967-31368E04D18D}">
      <text>
        <r>
          <rPr>
            <b/>
            <sz val="9"/>
            <color indexed="81"/>
            <rFont val="Tahoma"/>
            <family val="2"/>
          </rPr>
          <t>Dimpy:</t>
        </r>
        <r>
          <rPr>
            <sz val="9"/>
            <color indexed="81"/>
            <rFont val="Tahoma"/>
            <family val="2"/>
          </rPr>
          <t xml:space="preserve">
It tells you how fast the outbreak is accelerating or decelerating today compared to yesterday.
If avg of daily growth is dropping, it means the spread is slowing down.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48F30-172E-4D29-91BB-A3DF7C8B99BB}" keepAlive="1" name="Query - day_wise" description="Connection to the 'day_wise' query in the workbook." type="5" refreshedVersion="0" background="1">
    <dbPr connection="Provider=Microsoft.Mashup.OleDb.1;Data Source=$Workbook$;Location=day_wise;Extended Properties=&quot;&quot;" command="SELECT * FROM [day_wise]"/>
  </connection>
  <connection id="2" xr16:uid="{6FA3379E-A1FE-41D2-AE29-C664381A9A5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A172E2A-748F-4E5A-B3B0-49958BFBD0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33C4422-C998-4B19-91A9-6D8F7BF6849D}" name="WorksheetConnection_day_wise - raw data!$A:$M" type="102" refreshedVersion="8" minRefreshableVersion="5">
    <extLst>
      <ext xmlns:x15="http://schemas.microsoft.com/office/spreadsheetml/2010/11/main" uri="{DE250136-89BD-433C-8126-D09CA5730AF9}">
        <x15:connection id="Range 1" autoDelete="1">
          <x15:rangePr sourceName="_xlcn.WorksheetConnection_day_wiserawdataAM1"/>
        </x15:connection>
      </ext>
    </extLst>
  </connection>
  <connection id="5" xr16:uid="{F1B03A56-58F2-432E-B6B2-27C43BBD2082}" name="WorksheetConnection_day_wise (version 2).xlsb!Table3" type="102" refreshedVersion="8" minRefreshableVersion="5">
    <extLst>
      <ext xmlns:x15="http://schemas.microsoft.com/office/spreadsheetml/2010/11/main" uri="{DE250136-89BD-433C-8126-D09CA5730AF9}">
        <x15:connection id="Table3" autoDelete="1">
          <x15:rangePr sourceName="_xlcn.WorksheetConnection_day_wiseversion2.xlsbTable31"/>
        </x15:connection>
      </ext>
    </extLst>
  </connection>
</connections>
</file>

<file path=xl/sharedStrings.xml><?xml version="1.0" encoding="utf-8"?>
<sst xmlns="http://schemas.openxmlformats.org/spreadsheetml/2006/main" count="285" uniqueCount="82">
  <si>
    <t>Date</t>
  </si>
  <si>
    <t>Confirmed</t>
  </si>
  <si>
    <t>Deaths</t>
  </si>
  <si>
    <t>Recovered</t>
  </si>
  <si>
    <t>Active</t>
  </si>
  <si>
    <t>New cases</t>
  </si>
  <si>
    <t>New deaths</t>
  </si>
  <si>
    <t>New recovered</t>
  </si>
  <si>
    <t>Deaths / 100 Cases</t>
  </si>
  <si>
    <t>Recovered / 100 Cases</t>
  </si>
  <si>
    <t>Deaths / 100 Recovered</t>
  </si>
  <si>
    <t>No. of countries</t>
  </si>
  <si>
    <t>Confirmed Cases</t>
  </si>
  <si>
    <t>Total Deaths</t>
  </si>
  <si>
    <t>Total Recovered Cases</t>
  </si>
  <si>
    <t>Active Cases</t>
  </si>
  <si>
    <t>Daily Growth %</t>
  </si>
  <si>
    <t>Row Labels</t>
  </si>
  <si>
    <t>Grand Total</t>
  </si>
  <si>
    <t>Sum of New deaths</t>
  </si>
  <si>
    <t>Sum of Confirmed Cases</t>
  </si>
  <si>
    <t>Sum of Total Deaths</t>
  </si>
  <si>
    <t>Sum of Total Recovered Cases</t>
  </si>
  <si>
    <t>Sum of Active Cases</t>
  </si>
  <si>
    <t>Jan</t>
  </si>
  <si>
    <t>Feb</t>
  </si>
  <si>
    <t>Mar</t>
  </si>
  <si>
    <t>Apr</t>
  </si>
  <si>
    <t>May</t>
  </si>
  <si>
    <t>Jun</t>
  </si>
  <si>
    <t>Jul</t>
  </si>
  <si>
    <t>Months</t>
  </si>
  <si>
    <t>Sum of New cases</t>
  </si>
  <si>
    <t>Sum of New recovered</t>
  </si>
  <si>
    <t>MONTHLY PANDEMIC TRENDS - TRACKING THE WAVES</t>
  </si>
  <si>
    <t>Monthly Case &amp; Outcome Analysis</t>
  </si>
  <si>
    <t>Max of No. of countries</t>
  </si>
  <si>
    <t>GLOBAL EXPANSION ANALYSIS - SPEED OF THE SPREAD</t>
  </si>
  <si>
    <t>Average of Deaths / 100 Cases</t>
  </si>
  <si>
    <t>Max of Active Cases</t>
  </si>
  <si>
    <t>Average of Daily Growth %</t>
  </si>
  <si>
    <t>Active Case Trend ( Hospital &amp; Healthcare Pressure)</t>
  </si>
  <si>
    <t>Mortality vs Recovery Ratios (Healthcare System Effective)</t>
  </si>
  <si>
    <t>FOR KPIs</t>
  </si>
  <si>
    <t>TOTAL RECOVERED PATIENTS</t>
  </si>
  <si>
    <t>TOTAL DEATH</t>
  </si>
  <si>
    <t>TOTAL CONFIRMED PATIENTS</t>
  </si>
  <si>
    <t>TOTAL ACTIVE CASE</t>
  </si>
  <si>
    <t>Sum of Recovered / 100 Cases</t>
  </si>
  <si>
    <t>Sum of Deaths / 100 Recovered</t>
  </si>
  <si>
    <t xml:space="preserve">Growth Rate Comparison </t>
  </si>
  <si>
    <t xml:space="preserve">Months </t>
  </si>
  <si>
    <t>Sum of Confirmed</t>
  </si>
  <si>
    <t>Business-Oriented Analytical Questions</t>
  </si>
  <si>
    <t>1. What is the month-over-month % growth in confirmed cases, and which month had the sharpest spike?</t>
  </si>
  <si>
    <t>Recovery Rate %</t>
  </si>
  <si>
    <t>Mortality Rate %</t>
  </si>
  <si>
    <t>Sum of Recovery %</t>
  </si>
  <si>
    <t>Sum of Mortality %</t>
  </si>
  <si>
    <t>2. What is the Recovery Rate (%) and Mortality Rate (%) across months, and how do they trend?</t>
  </si>
  <si>
    <t>Active Case %</t>
  </si>
  <si>
    <t>4. How many countries were affected each month, and when did the spread plateau?</t>
  </si>
  <si>
    <t>What is the average daily growth % per month, and which month saw the steepest decline?</t>
  </si>
  <si>
    <t>Deaths / 100 Recovered %</t>
  </si>
  <si>
    <t>Forecast(Confirmed Cases)</t>
  </si>
  <si>
    <t>Lower Confidence Bound(Confirmed Cases)</t>
  </si>
  <si>
    <t>Upper Confidence Bound(Confirmed Cases)</t>
  </si>
  <si>
    <t>Which days had new cases above the 90th percentile?</t>
  </si>
  <si>
    <t>Correlation Between New Cases And New Death</t>
  </si>
  <si>
    <t>COVID-19 Global Analysis Dashboard (Jan–Jul 2020)</t>
  </si>
  <si>
    <t>Sum of Active % of Confirmed Cases</t>
  </si>
  <si>
    <t>Max of Total Deaths</t>
  </si>
  <si>
    <t>Average of Mortality Rate %</t>
  </si>
  <si>
    <t>3. Which Month had the highest active case burden, and how does it compare to total confirmed cases?</t>
  </si>
  <si>
    <t>Column1</t>
  </si>
  <si>
    <t>Mortality Rate</t>
  </si>
  <si>
    <t>Recovery Rate</t>
  </si>
  <si>
    <t>Recovered Cases</t>
  </si>
  <si>
    <t>MONTHLY CASE AND OUTCOME ANALYSIS</t>
  </si>
  <si>
    <t>COUNTRIES AFFECTED OVER TIME</t>
  </si>
  <si>
    <t>Active Case Trend</t>
  </si>
  <si>
    <t>Average of Daily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</si>
</sst>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 &quot;M&quot;"/>
    <numFmt numFmtId="166" formatCode="0.00%;\-0.0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8" tint="0.79998168889431442"/>
      <name val="Aptos Narrow"/>
      <family val="2"/>
      <scheme val="minor"/>
    </font>
    <font>
      <sz val="11"/>
      <color theme="8" tint="0.79998168889431442"/>
      <name val="Aptos Narrow"/>
      <family val="2"/>
      <scheme val="minor"/>
    </font>
    <font>
      <sz val="9"/>
      <color indexed="81"/>
      <name val="Tahoma"/>
      <family val="2"/>
    </font>
    <font>
      <b/>
      <sz val="7.5"/>
      <color theme="8" tint="0.79998168889431442"/>
      <name val="Aptos Narrow"/>
      <family val="2"/>
      <scheme val="minor"/>
    </font>
    <font>
      <b/>
      <sz val="9"/>
      <color indexed="81"/>
      <name val="Tahoma"/>
      <family val="2"/>
    </font>
    <font>
      <b/>
      <sz val="18"/>
      <color theme="4" tint="0.79998168889431442"/>
      <name val="Aptos Narrow"/>
      <family val="2"/>
      <scheme val="minor"/>
    </font>
    <font>
      <b/>
      <sz val="16"/>
      <color theme="8" tint="0.79998168889431442"/>
      <name val="Aptos Narrow"/>
      <family val="2"/>
      <scheme val="minor"/>
    </font>
    <font>
      <b/>
      <sz val="10"/>
      <color theme="8" tint="0.79998168889431442"/>
      <name val="Aptos Narrow"/>
      <family val="2"/>
      <scheme val="minor"/>
    </font>
    <font>
      <b/>
      <sz val="10"/>
      <color theme="8" tint="-0.499984740745262"/>
      <name val="Aptos Narrow"/>
      <family val="2"/>
      <scheme val="minor"/>
    </font>
    <font>
      <b/>
      <sz val="11"/>
      <color theme="8" tint="-0.499984740745262"/>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theme="0"/>
        <bgColor indexed="64"/>
      </patternFill>
    </fill>
    <fill>
      <patternFill patternType="solid">
        <fgColor theme="8" tint="-0.249977111117893"/>
        <bgColor theme="4"/>
      </patternFill>
    </fill>
    <fill>
      <patternFill patternType="solid">
        <fgColor theme="8" tint="-0.249977111117893"/>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8"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5">
    <xf numFmtId="0" fontId="0" fillId="0" borderId="0" xfId="0"/>
    <xf numFmtId="14" fontId="0" fillId="0" borderId="0" xfId="0" applyNumberFormat="1"/>
    <xf numFmtId="0" fontId="19" fillId="36" borderId="0" xfId="0" applyFont="1" applyFill="1"/>
    <xf numFmtId="0" fontId="0" fillId="33" borderId="0" xfId="0" applyFill="1"/>
    <xf numFmtId="0" fontId="0" fillId="34" borderId="0" xfId="0" applyFill="1"/>
    <xf numFmtId="0" fontId="0" fillId="34" borderId="10" xfId="0" applyFill="1" applyBorder="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16" fillId="0" borderId="0" xfId="0" applyFont="1"/>
    <xf numFmtId="9" fontId="0" fillId="0" borderId="0" xfId="42" applyFont="1"/>
    <xf numFmtId="0" fontId="18" fillId="35" borderId="11" xfId="0" applyFont="1" applyFill="1" applyBorder="1"/>
    <xf numFmtId="0" fontId="18" fillId="35" borderId="0" xfId="0" applyFont="1" applyFill="1"/>
    <xf numFmtId="0" fontId="18" fillId="34" borderId="0" xfId="0" applyFont="1" applyFill="1" applyAlignment="1">
      <alignment horizontal="center"/>
    </xf>
    <xf numFmtId="0" fontId="21" fillId="36" borderId="0" xfId="0" applyFont="1" applyFill="1" applyAlignment="1">
      <alignment vertical="center"/>
    </xf>
    <xf numFmtId="0" fontId="16" fillId="0" borderId="0" xfId="0" pivotButton="1" applyFont="1"/>
    <xf numFmtId="0" fontId="16" fillId="0" borderId="0" xfId="0" applyFont="1" applyAlignment="1">
      <alignment horizontal="left"/>
    </xf>
    <xf numFmtId="2" fontId="16" fillId="0" borderId="0" xfId="0" applyNumberFormat="1" applyFont="1"/>
    <xf numFmtId="10" fontId="16" fillId="0" borderId="0" xfId="0" applyNumberFormat="1" applyFont="1"/>
    <xf numFmtId="0" fontId="25" fillId="36" borderId="0" xfId="0" applyFont="1" applyFill="1" applyAlignment="1">
      <alignment horizontal="center"/>
    </xf>
    <xf numFmtId="10" fontId="27" fillId="37" borderId="0" xfId="0" applyNumberFormat="1" applyFont="1" applyFill="1"/>
    <xf numFmtId="9" fontId="0" fillId="34" borderId="0" xfId="42" applyFont="1" applyFill="1"/>
    <xf numFmtId="2" fontId="0" fillId="34" borderId="0" xfId="0" applyNumberFormat="1" applyFill="1"/>
    <xf numFmtId="9" fontId="0" fillId="0" borderId="0" xfId="0" applyNumberFormat="1"/>
    <xf numFmtId="0" fontId="16" fillId="34" borderId="0" xfId="0" applyFont="1" applyFill="1"/>
    <xf numFmtId="164" fontId="0" fillId="0" borderId="0" xfId="0" applyNumberFormat="1"/>
    <xf numFmtId="10" fontId="0" fillId="0" borderId="0" xfId="0" applyNumberFormat="1"/>
    <xf numFmtId="165" fontId="0" fillId="0" borderId="0" xfId="0" applyNumberFormat="1"/>
    <xf numFmtId="166" fontId="0" fillId="0" borderId="0" xfId="0" applyNumberFormat="1"/>
    <xf numFmtId="0" fontId="23" fillId="38" borderId="0" xfId="0" applyFont="1" applyFill="1" applyAlignment="1">
      <alignment horizontal="center"/>
    </xf>
    <xf numFmtId="0" fontId="16" fillId="0" borderId="0" xfId="0" applyFont="1" applyAlignment="1">
      <alignment horizontal="center" wrapText="1"/>
    </xf>
    <xf numFmtId="0" fontId="16" fillId="0" borderId="0" xfId="0" applyFont="1" applyAlignment="1">
      <alignment horizontal="center" vertical="center" wrapText="1"/>
    </xf>
    <xf numFmtId="0" fontId="18" fillId="39" borderId="0" xfId="0" applyFont="1" applyFill="1" applyAlignment="1">
      <alignment horizontal="center"/>
    </xf>
    <xf numFmtId="0" fontId="19" fillId="39" borderId="0" xfId="0" applyFont="1" applyFill="1" applyAlignment="1">
      <alignment horizontal="center"/>
    </xf>
    <xf numFmtId="0" fontId="18" fillId="36" borderId="0" xfId="0" applyFont="1" applyFill="1" applyAlignment="1">
      <alignment horizontal="center"/>
    </xf>
    <xf numFmtId="0" fontId="21" fillId="36" borderId="0" xfId="0" applyFont="1" applyFill="1" applyAlignment="1">
      <alignment horizontal="center" vertical="center"/>
    </xf>
    <xf numFmtId="0" fontId="18" fillId="36" borderId="0" xfId="0" applyFont="1" applyFill="1" applyAlignment="1">
      <alignment horizontal="center" vertical="center" wrapText="1"/>
    </xf>
    <xf numFmtId="0" fontId="24" fillId="36" borderId="0" xfId="0" applyFont="1" applyFill="1" applyAlignment="1">
      <alignment horizontal="center" vertical="center" wrapText="1"/>
    </xf>
    <xf numFmtId="0" fontId="25" fillId="36" borderId="0" xfId="0" applyFont="1" applyFill="1" applyAlignment="1">
      <alignment horizontal="center"/>
    </xf>
    <xf numFmtId="0" fontId="27" fillId="37" borderId="0" xfId="0" applyFont="1" applyFill="1" applyAlignment="1">
      <alignment horizontal="center" wrapText="1"/>
    </xf>
    <xf numFmtId="0" fontId="27" fillId="37" borderId="0" xfId="0" applyFont="1" applyFill="1" applyAlignment="1">
      <alignment horizontal="center" vertical="center" wrapText="1"/>
    </xf>
    <xf numFmtId="0" fontId="26" fillId="37" borderId="0" xfId="0" applyFont="1" applyFill="1" applyAlignment="1">
      <alignment horizontal="left" vertical="center" wrapText="1"/>
    </xf>
    <xf numFmtId="0" fontId="27" fillId="37" borderId="0" xfId="0" applyFont="1" applyFill="1" applyAlignment="1">
      <alignment horizontal="left" vertical="center" wrapText="1"/>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font>
        <color rgb="FF9C0006"/>
      </font>
      <fill>
        <patternFill>
          <bgColor rgb="FFFFC7CE"/>
        </patternFill>
      </fill>
    </dxf>
    <dxf>
      <numFmt numFmtId="2" formatCode="0.00"/>
    </dxf>
    <dxf>
      <numFmt numFmtId="2" formatCode="0.00"/>
    </dxf>
    <dxf>
      <numFmt numFmtId="2" formatCode="0.00"/>
    </dxf>
    <dxf>
      <numFmt numFmtId="2" formatCode="0.00"/>
    </dxf>
    <dxf>
      <numFmt numFmtId="164" formatCode="&quot;₹&quot;\ #,##0.00"/>
    </dxf>
    <dxf>
      <numFmt numFmtId="164" formatCode="&quot;₹&quot;\ #,##0.00"/>
    </dxf>
    <dxf>
      <numFmt numFmtId="19" formatCode="dd/mm/yyyy"/>
    </dxf>
    <dxf>
      <numFmt numFmtId="19" formatCode="dd/mm/yyyy"/>
    </dxf>
    <dxf>
      <numFmt numFmtId="2" formatCode="0.00"/>
    </dxf>
    <dxf>
      <font>
        <color theme="8" tint="-0.499984740745262"/>
      </font>
    </dxf>
    <dxf>
      <fill>
        <patternFill patternType="solid">
          <bgColor theme="8" tint="0.79998168889431442"/>
        </patternFill>
      </fill>
    </dxf>
    <dxf>
      <font>
        <b/>
      </font>
    </dxf>
    <dxf>
      <font>
        <b/>
      </font>
    </dxf>
    <dxf>
      <font>
        <b/>
      </font>
    </dxf>
    <dxf>
      <font>
        <b/>
      </font>
    </dxf>
    <dxf>
      <font>
        <b/>
      </font>
    </dxf>
    <dxf>
      <font>
        <b/>
      </font>
    </dxf>
    <dxf>
      <numFmt numFmtId="13" formatCode="0%"/>
    </dxf>
    <dxf>
      <numFmt numFmtId="2" formatCode="0.00"/>
    </dxf>
    <dxf>
      <font>
        <b/>
      </font>
    </dxf>
    <dxf>
      <font>
        <b/>
      </font>
    </dxf>
    <dxf>
      <font>
        <b/>
      </font>
    </dxf>
    <dxf>
      <font>
        <b/>
      </font>
    </dxf>
    <dxf>
      <font>
        <b/>
      </font>
    </dxf>
    <dxf>
      <font>
        <b/>
      </font>
    </dxf>
    <dxf>
      <numFmt numFmtId="2" formatCode="0.00"/>
    </dxf>
    <dxf>
      <numFmt numFmtId="2" formatCode="0.00"/>
    </dxf>
    <dxf>
      <numFmt numFmtId="13" formatCode="0%"/>
      <fill>
        <patternFill patternType="solid">
          <fgColor indexed="64"/>
          <bgColor theme="0"/>
        </patternFill>
      </fill>
    </dxf>
    <dxf>
      <fill>
        <patternFill patternType="solid">
          <fgColor indexed="64"/>
          <bgColor theme="0"/>
        </patternFill>
      </fill>
    </dxf>
    <dxf>
      <numFmt numFmtId="2" formatCode="0.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9" formatCode="dd/mm/yyyy"/>
    </dxf>
    <dxf>
      <border outline="0">
        <right style="medium">
          <color indexed="64"/>
        </right>
        <top style="medium">
          <color indexed="64"/>
        </top>
      </border>
    </dxf>
    <dxf>
      <fill>
        <patternFill patternType="solid">
          <fgColor indexed="64"/>
          <bgColor theme="0"/>
        </patternFill>
      </fill>
    </dxf>
    <dxf>
      <font>
        <b/>
        <i val="0"/>
        <strike val="0"/>
        <condense val="0"/>
        <extend val="0"/>
        <outline val="0"/>
        <shadow val="0"/>
        <u val="none"/>
        <vertAlign val="baseline"/>
        <sz val="11"/>
        <color theme="8" tint="0.79998168889431442"/>
        <name val="Aptos Narrow"/>
        <family val="2"/>
        <scheme val="minor"/>
      </font>
      <fill>
        <patternFill patternType="solid">
          <fgColor theme="4"/>
          <bgColor theme="8" tint="-0.249977111117893"/>
        </patternFill>
      </fill>
    </dxf>
  </dxfs>
  <tableStyles count="0" defaultTableStyle="TableStyleMedium2" defaultPivotStyle="PivotStyleLight16"/>
  <colors>
    <mruColors>
      <color rgb="FFF2C4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customXml" Target="../customXml/item2.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1.xml"/><Relationship Id="rId35" Type="http://schemas.openxmlformats.org/officeDocument/2006/relationships/powerPivotData" Target="model/item.data"/><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8.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17/10/relationships/person" Target="persons/person.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1 - 2!PivotTable1</c:name>
    <c:fmtId val="3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8283777345029"/>
          <c:y val="5.8997448793212885E-2"/>
          <c:w val="0.57746411435398182"/>
          <c:h val="0.81700993158914292"/>
        </c:manualLayout>
      </c:layout>
      <c:barChart>
        <c:barDir val="col"/>
        <c:grouping val="clustered"/>
        <c:varyColors val="0"/>
        <c:ser>
          <c:idx val="0"/>
          <c:order val="0"/>
          <c:tx>
            <c:strRef>
              <c:f>'Pivot Table 1 - 2'!$B$2</c:f>
              <c:strCache>
                <c:ptCount val="1"/>
                <c:pt idx="0">
                  <c:v>Confirmed Cases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1 - 2'!$B$3:$B$10</c:f>
              <c:numCache>
                <c:formatCode>General</c:formatCode>
                <c:ptCount val="7"/>
                <c:pt idx="0">
                  <c:v>9927</c:v>
                </c:pt>
                <c:pt idx="1">
                  <c:v>85306</c:v>
                </c:pt>
                <c:pt idx="2">
                  <c:v>871355</c:v>
                </c:pt>
                <c:pt idx="3">
                  <c:v>3268876</c:v>
                </c:pt>
                <c:pt idx="4">
                  <c:v>6185530</c:v>
                </c:pt>
                <c:pt idx="5">
                  <c:v>10449697</c:v>
                </c:pt>
                <c:pt idx="6">
                  <c:v>16480485</c:v>
                </c:pt>
              </c:numCache>
            </c:numRef>
          </c:val>
          <c:extLst>
            <c:ext xmlns:c16="http://schemas.microsoft.com/office/drawing/2014/chart" uri="{C3380CC4-5D6E-409C-BE32-E72D297353CC}">
              <c16:uniqueId val="{00000000-292E-4D29-93D9-D7C675538CB0}"/>
            </c:ext>
          </c:extLst>
        </c:ser>
        <c:ser>
          <c:idx val="2"/>
          <c:order val="2"/>
          <c:tx>
            <c:strRef>
              <c:f>'Pivot Table 1 - 2'!$D$2</c:f>
              <c:strCache>
                <c:ptCount val="1"/>
                <c:pt idx="0">
                  <c:v>Active Cases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1 - 2'!$D$3:$D$10</c:f>
              <c:numCache>
                <c:formatCode>General</c:formatCode>
                <c:ptCount val="7"/>
                <c:pt idx="0">
                  <c:v>9495</c:v>
                </c:pt>
                <c:pt idx="1">
                  <c:v>58996</c:v>
                </c:pt>
                <c:pt idx="2">
                  <c:v>652803</c:v>
                </c:pt>
                <c:pt idx="3">
                  <c:v>2044556</c:v>
                </c:pt>
                <c:pt idx="4">
                  <c:v>3226335</c:v>
                </c:pt>
                <c:pt idx="5">
                  <c:v>4657028</c:v>
                </c:pt>
                <c:pt idx="6">
                  <c:v>6358362</c:v>
                </c:pt>
              </c:numCache>
            </c:numRef>
          </c:val>
          <c:extLst>
            <c:ext xmlns:c16="http://schemas.microsoft.com/office/drawing/2014/chart" uri="{C3380CC4-5D6E-409C-BE32-E72D297353CC}">
              <c16:uniqueId val="{00000001-292E-4D29-93D9-D7C675538CB0}"/>
            </c:ext>
          </c:extLst>
        </c:ser>
        <c:ser>
          <c:idx val="3"/>
          <c:order val="3"/>
          <c:tx>
            <c:strRef>
              <c:f>'Pivot Table 1 - 2'!$E$2</c:f>
              <c:strCache>
                <c:ptCount val="1"/>
                <c:pt idx="0">
                  <c:v>Recovered Cases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1 - 2'!$E$3:$E$10</c:f>
              <c:numCache>
                <c:formatCode>General</c:formatCode>
                <c:ptCount val="7"/>
                <c:pt idx="0">
                  <c:v>219</c:v>
                </c:pt>
                <c:pt idx="1">
                  <c:v>38314</c:v>
                </c:pt>
                <c:pt idx="2">
                  <c:v>174074</c:v>
                </c:pt>
                <c:pt idx="3">
                  <c:v>989616</c:v>
                </c:pt>
                <c:pt idx="4">
                  <c:v>2585589</c:v>
                </c:pt>
                <c:pt idx="5">
                  <c:v>5281459</c:v>
                </c:pt>
                <c:pt idx="6">
                  <c:v>9468087</c:v>
                </c:pt>
              </c:numCache>
            </c:numRef>
          </c:val>
          <c:extLst>
            <c:ext xmlns:c16="http://schemas.microsoft.com/office/drawing/2014/chart" uri="{C3380CC4-5D6E-409C-BE32-E72D297353CC}">
              <c16:uniqueId val="{00000002-292E-4D29-93D9-D7C675538CB0}"/>
            </c:ext>
          </c:extLst>
        </c:ser>
        <c:dLbls>
          <c:showLegendKey val="0"/>
          <c:showVal val="0"/>
          <c:showCatName val="0"/>
          <c:showSerName val="0"/>
          <c:showPercent val="0"/>
          <c:showBubbleSize val="0"/>
        </c:dLbls>
        <c:gapWidth val="100"/>
        <c:axId val="1854716320"/>
        <c:axId val="1854716800"/>
      </c:barChart>
      <c:lineChart>
        <c:grouping val="standard"/>
        <c:varyColors val="0"/>
        <c:ser>
          <c:idx val="1"/>
          <c:order val="1"/>
          <c:tx>
            <c:strRef>
              <c:f>'Pivot Table 1 - 2'!$C$2</c:f>
              <c:strCache>
                <c:ptCount val="1"/>
                <c:pt idx="0">
                  <c:v>Total 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 1 - 2'!$A$3:$A$10</c:f>
              <c:strCache>
                <c:ptCount val="7"/>
                <c:pt idx="0">
                  <c:v>Jan</c:v>
                </c:pt>
                <c:pt idx="1">
                  <c:v>Feb</c:v>
                </c:pt>
                <c:pt idx="2">
                  <c:v>Mar</c:v>
                </c:pt>
                <c:pt idx="3">
                  <c:v>Apr</c:v>
                </c:pt>
                <c:pt idx="4">
                  <c:v>May</c:v>
                </c:pt>
                <c:pt idx="5">
                  <c:v>Jun</c:v>
                </c:pt>
                <c:pt idx="6">
                  <c:v>Jul</c:v>
                </c:pt>
              </c:strCache>
            </c:strRef>
          </c:cat>
          <c:val>
            <c:numRef>
              <c:f>'Pivot Table 1 - 2'!$C$3:$C$10</c:f>
              <c:numCache>
                <c:formatCode>General</c:formatCode>
                <c:ptCount val="7"/>
                <c:pt idx="0">
                  <c:v>213</c:v>
                </c:pt>
                <c:pt idx="1">
                  <c:v>2936</c:v>
                </c:pt>
                <c:pt idx="2">
                  <c:v>44478</c:v>
                </c:pt>
                <c:pt idx="3">
                  <c:v>234704</c:v>
                </c:pt>
                <c:pt idx="4">
                  <c:v>373606</c:v>
                </c:pt>
                <c:pt idx="5">
                  <c:v>511210</c:v>
                </c:pt>
                <c:pt idx="6">
                  <c:v>654036</c:v>
                </c:pt>
              </c:numCache>
            </c:numRef>
          </c:val>
          <c:smooth val="0"/>
          <c:extLst>
            <c:ext xmlns:c16="http://schemas.microsoft.com/office/drawing/2014/chart" uri="{C3380CC4-5D6E-409C-BE32-E72D297353CC}">
              <c16:uniqueId val="{00000003-292E-4D29-93D9-D7C675538CB0}"/>
            </c:ext>
          </c:extLst>
        </c:ser>
        <c:dLbls>
          <c:showLegendKey val="0"/>
          <c:showVal val="0"/>
          <c:showCatName val="0"/>
          <c:showSerName val="0"/>
          <c:showPercent val="0"/>
          <c:showBubbleSize val="0"/>
        </c:dLbls>
        <c:marker val="1"/>
        <c:smooth val="0"/>
        <c:axId val="1831889536"/>
        <c:axId val="1831898656"/>
      </c:lineChart>
      <c:catAx>
        <c:axId val="1854716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16800"/>
        <c:crosses val="autoZero"/>
        <c:auto val="1"/>
        <c:lblAlgn val="ctr"/>
        <c:lblOffset val="100"/>
        <c:noMultiLvlLbl val="0"/>
      </c:catAx>
      <c:valAx>
        <c:axId val="185471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16320"/>
        <c:crosses val="autoZero"/>
        <c:crossBetween val="between"/>
        <c:dispUnits>
          <c:builtInUnit val="millions"/>
          <c:dispUnitsLbl>
            <c:layout>
              <c:manualLayout>
                <c:xMode val="edge"/>
                <c:yMode val="edge"/>
                <c:x val="1.9444444444444445E-2"/>
                <c:y val="0.43055555555555558"/>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31898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89536"/>
        <c:crosses val="max"/>
        <c:crossBetween val="between"/>
      </c:valAx>
      <c:catAx>
        <c:axId val="1831889536"/>
        <c:scaling>
          <c:orientation val="minMax"/>
        </c:scaling>
        <c:delete val="1"/>
        <c:axPos val="b"/>
        <c:numFmt formatCode="General" sourceLinked="1"/>
        <c:majorTickMark val="out"/>
        <c:minorTickMark val="none"/>
        <c:tickLblPos val="nextTo"/>
        <c:crossAx val="1831898656"/>
        <c:crosses val="autoZero"/>
        <c:auto val="1"/>
        <c:lblAlgn val="ctr"/>
        <c:lblOffset val="100"/>
        <c:noMultiLvlLbl val="0"/>
      </c:catAx>
      <c:spPr>
        <a:noFill/>
        <a:ln>
          <a:noFill/>
        </a:ln>
        <a:effectLst/>
      </c:spPr>
    </c:plotArea>
    <c:legend>
      <c:legendPos val="r"/>
      <c:layout>
        <c:manualLayout>
          <c:xMode val="edge"/>
          <c:yMode val="edge"/>
          <c:x val="0.80741102192028658"/>
          <c:y val="5.6176804838382041E-2"/>
          <c:w val="0.17637332435584804"/>
          <c:h val="0.84473873252195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1 - 2!PivotTable2</c:name>
    <c:fmtId val="3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2535150765321"/>
          <c:y val="5.6451083109529988E-2"/>
          <c:w val="0.62984470691163608"/>
          <c:h val="0.84204505686789155"/>
        </c:manualLayout>
      </c:layout>
      <c:lineChart>
        <c:grouping val="standard"/>
        <c:varyColors val="0"/>
        <c:ser>
          <c:idx val="0"/>
          <c:order val="0"/>
          <c:tx>
            <c:strRef>
              <c:f>'Pivot Table 1 - 2'!$H$2</c:f>
              <c:strCache>
                <c:ptCount val="1"/>
                <c:pt idx="0">
                  <c:v>New cases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1 - 2'!$H$3:$H$10</c:f>
              <c:numCache>
                <c:formatCode>General</c:formatCode>
                <c:ptCount val="7"/>
                <c:pt idx="0">
                  <c:v>9375</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4031-47D8-B116-85AFCBCDB69A}"/>
            </c:ext>
          </c:extLst>
        </c:ser>
        <c:ser>
          <c:idx val="1"/>
          <c:order val="1"/>
          <c:tx>
            <c:strRef>
              <c:f>'Pivot Table 1 - 2'!$I$2</c:f>
              <c:strCache>
                <c:ptCount val="1"/>
                <c:pt idx="0">
                  <c:v>New 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1 - 2'!$I$3:$I$10</c:f>
              <c:numCache>
                <c:formatCode>General</c:formatCode>
                <c:ptCount val="7"/>
                <c:pt idx="0">
                  <c:v>199</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1-4031-47D8-B116-85AFCBCDB69A}"/>
            </c:ext>
          </c:extLst>
        </c:ser>
        <c:ser>
          <c:idx val="2"/>
          <c:order val="2"/>
          <c:tx>
            <c:strRef>
              <c:f>'Pivot Table 1 - 2'!$J$2</c:f>
              <c:strCache>
                <c:ptCount val="1"/>
                <c:pt idx="0">
                  <c:v>New recovered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1 - 2'!$J$3:$J$10</c:f>
              <c:numCache>
                <c:formatCode>General</c:formatCode>
                <c:ptCount val="7"/>
                <c:pt idx="0">
                  <c:v>194</c:v>
                </c:pt>
                <c:pt idx="1">
                  <c:v>38095</c:v>
                </c:pt>
                <c:pt idx="2">
                  <c:v>135760</c:v>
                </c:pt>
                <c:pt idx="3">
                  <c:v>815542</c:v>
                </c:pt>
                <c:pt idx="4">
                  <c:v>1595973</c:v>
                </c:pt>
                <c:pt idx="5">
                  <c:v>2695870</c:v>
                </c:pt>
                <c:pt idx="6">
                  <c:v>4186628</c:v>
                </c:pt>
              </c:numCache>
            </c:numRef>
          </c:val>
          <c:smooth val="0"/>
          <c:extLst>
            <c:ext xmlns:c16="http://schemas.microsoft.com/office/drawing/2014/chart" uri="{C3380CC4-5D6E-409C-BE32-E72D297353CC}">
              <c16:uniqueId val="{00000002-4031-47D8-B116-85AFCBCDB69A}"/>
            </c:ext>
          </c:extLst>
        </c:ser>
        <c:dLbls>
          <c:showLegendKey val="0"/>
          <c:showVal val="0"/>
          <c:showCatName val="0"/>
          <c:showSerName val="0"/>
          <c:showPercent val="0"/>
          <c:showBubbleSize val="0"/>
        </c:dLbls>
        <c:marker val="1"/>
        <c:smooth val="0"/>
        <c:axId val="1854746560"/>
        <c:axId val="1854748960"/>
      </c:lineChart>
      <c:catAx>
        <c:axId val="1854746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48960"/>
        <c:crosses val="autoZero"/>
        <c:auto val="1"/>
        <c:lblAlgn val="ctr"/>
        <c:lblOffset val="100"/>
        <c:noMultiLvlLbl val="0"/>
      </c:catAx>
      <c:valAx>
        <c:axId val="185474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46560"/>
        <c:crosses val="autoZero"/>
        <c:crossBetween val="between"/>
        <c:dispUnits>
          <c:builtInUnit val="millions"/>
          <c:dispUnitsLbl>
            <c:layout>
              <c:manualLayout>
                <c:xMode val="edge"/>
                <c:yMode val="edge"/>
                <c:x val="1.2152668416447944E-2"/>
                <c:y val="0.33333333333333331"/>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3433277004538842"/>
          <c:y val="0.1299735786621049"/>
          <c:w val="0.15177843394575674"/>
          <c:h val="0.71585812190142895"/>
        </c:manualLayout>
      </c:layout>
      <c:overlay val="0"/>
      <c:spPr>
        <a:noFill/>
        <a:ln cap="sq">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3 - 4!PivotTable4</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3461590497065"/>
          <c:y val="5.9139784946236562E-2"/>
          <c:w val="0.6699448007143437"/>
          <c:h val="0.81656845313690629"/>
        </c:manualLayout>
      </c:layout>
      <c:barChart>
        <c:barDir val="col"/>
        <c:grouping val="clustered"/>
        <c:varyColors val="0"/>
        <c:ser>
          <c:idx val="0"/>
          <c:order val="0"/>
          <c:tx>
            <c:strRef>
              <c:f>'Pivot Table 3 - 4'!$G$1</c:f>
              <c:strCache>
                <c:ptCount val="1"/>
                <c:pt idx="0">
                  <c:v>Recovery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3 - 4'!$F$2:$F$9</c:f>
              <c:strCache>
                <c:ptCount val="7"/>
                <c:pt idx="0">
                  <c:v>Jan</c:v>
                </c:pt>
                <c:pt idx="1">
                  <c:v>Feb</c:v>
                </c:pt>
                <c:pt idx="2">
                  <c:v>Mar</c:v>
                </c:pt>
                <c:pt idx="3">
                  <c:v>Apr</c:v>
                </c:pt>
                <c:pt idx="4">
                  <c:v>May</c:v>
                </c:pt>
                <c:pt idx="5">
                  <c:v>Jun</c:v>
                </c:pt>
                <c:pt idx="6">
                  <c:v>Jul</c:v>
                </c:pt>
              </c:strCache>
            </c:strRef>
          </c:cat>
          <c:val>
            <c:numRef>
              <c:f>'Pivot Table 3 - 4'!$G$2:$G$9</c:f>
              <c:numCache>
                <c:formatCode>0.00%;\-0.00%;0.00%</c:formatCode>
                <c:ptCount val="7"/>
                <c:pt idx="0">
                  <c:v>2.1747028598121141E-2</c:v>
                </c:pt>
                <c:pt idx="1">
                  <c:v>0.21862505162503901</c:v>
                </c:pt>
                <c:pt idx="2">
                  <c:v>0.29372723975778686</c:v>
                </c:pt>
                <c:pt idx="3">
                  <c:v>0.25151604322978627</c:v>
                </c:pt>
                <c:pt idx="4">
                  <c:v>0.36469199591622614</c:v>
                </c:pt>
                <c:pt idx="5">
                  <c:v>0.47453156695530596</c:v>
                </c:pt>
                <c:pt idx="6">
                  <c:v>0.55000415436001349</c:v>
                </c:pt>
              </c:numCache>
            </c:numRef>
          </c:val>
          <c:extLst>
            <c:ext xmlns:c16="http://schemas.microsoft.com/office/drawing/2014/chart" uri="{C3380CC4-5D6E-409C-BE32-E72D297353CC}">
              <c16:uniqueId val="{00000000-1DFA-468C-943D-39E24E3508FD}"/>
            </c:ext>
          </c:extLst>
        </c:ser>
        <c:ser>
          <c:idx val="1"/>
          <c:order val="1"/>
          <c:tx>
            <c:strRef>
              <c:f>'Pivot Table 3 - 4'!$H$1</c:f>
              <c:strCache>
                <c:ptCount val="1"/>
                <c:pt idx="0">
                  <c:v>Mortality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3 - 4'!$F$2:$F$9</c:f>
              <c:strCache>
                <c:ptCount val="7"/>
                <c:pt idx="0">
                  <c:v>Jan</c:v>
                </c:pt>
                <c:pt idx="1">
                  <c:v>Feb</c:v>
                </c:pt>
                <c:pt idx="2">
                  <c:v>Mar</c:v>
                </c:pt>
                <c:pt idx="3">
                  <c:v>Apr</c:v>
                </c:pt>
                <c:pt idx="4">
                  <c:v>May</c:v>
                </c:pt>
                <c:pt idx="5">
                  <c:v>Jun</c:v>
                </c:pt>
                <c:pt idx="6">
                  <c:v>Jul</c:v>
                </c:pt>
              </c:strCache>
            </c:strRef>
          </c:cat>
          <c:val>
            <c:numRef>
              <c:f>'Pivot Table 3 - 4'!$H$2:$H$9</c:f>
              <c:numCache>
                <c:formatCode>0.00%;\-0.00%;0.00%</c:formatCode>
                <c:ptCount val="7"/>
                <c:pt idx="0">
                  <c:v>2.3070535111849276E-2</c:v>
                </c:pt>
                <c:pt idx="1">
                  <c:v>2.8179606441362071E-2</c:v>
                </c:pt>
                <c:pt idx="2">
                  <c:v>4.4164075347544074E-2</c:v>
                </c:pt>
                <c:pt idx="3">
                  <c:v>6.8009164990815357E-2</c:v>
                </c:pt>
                <c:pt idx="4">
                  <c:v>6.6277519520447692E-2</c:v>
                </c:pt>
                <c:pt idx="5">
                  <c:v>5.3986453757878076E-2</c:v>
                </c:pt>
                <c:pt idx="6">
                  <c:v>4.3289740256273197E-2</c:v>
                </c:pt>
              </c:numCache>
            </c:numRef>
          </c:val>
          <c:extLst>
            <c:ext xmlns:c16="http://schemas.microsoft.com/office/drawing/2014/chart" uri="{C3380CC4-5D6E-409C-BE32-E72D297353CC}">
              <c16:uniqueId val="{00000001-1DFA-468C-943D-39E24E3508FD}"/>
            </c:ext>
          </c:extLst>
        </c:ser>
        <c:dLbls>
          <c:showLegendKey val="0"/>
          <c:showVal val="0"/>
          <c:showCatName val="0"/>
          <c:showSerName val="0"/>
          <c:showPercent val="0"/>
          <c:showBubbleSize val="0"/>
        </c:dLbls>
        <c:gapWidth val="100"/>
        <c:overlap val="-24"/>
        <c:axId val="1831932736"/>
        <c:axId val="1831938496"/>
      </c:barChart>
      <c:catAx>
        <c:axId val="183193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8496"/>
        <c:crosses val="autoZero"/>
        <c:auto val="1"/>
        <c:lblAlgn val="ctr"/>
        <c:lblOffset val="100"/>
        <c:noMultiLvlLbl val="0"/>
      </c:catAx>
      <c:valAx>
        <c:axId val="183193849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2736"/>
        <c:crosses val="autoZero"/>
        <c:crossBetween val="between"/>
      </c:valAx>
      <c:spPr>
        <a:noFill/>
        <a:ln>
          <a:noFill/>
        </a:ln>
        <a:effectLst/>
      </c:spPr>
    </c:plotArea>
    <c:legend>
      <c:legendPos val="r"/>
      <c:layout>
        <c:manualLayout>
          <c:xMode val="edge"/>
          <c:yMode val="edge"/>
          <c:x val="0.82007577612536564"/>
          <c:y val="0.22110151553636445"/>
          <c:w val="0.16028428934108274"/>
          <c:h val="0.611560409787486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3 - 4!PivotTable3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1" i="0" u="none" strike="noStrike" baseline="0"/>
              <a:t>Countries Affected Over Time</a:t>
            </a:r>
            <a:endParaRPr lang="en-US" sz="1200"/>
          </a:p>
        </c:rich>
      </c:tx>
      <c:layout>
        <c:manualLayout>
          <c:xMode val="edge"/>
          <c:yMode val="edge"/>
          <c:x val="0.24766702657151138"/>
          <c:y val="4.51216476476214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3 - 4'!$B$1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3 - 4'!$A$2:$A$9</c:f>
              <c:strCache>
                <c:ptCount val="7"/>
                <c:pt idx="0">
                  <c:v>Jan</c:v>
                </c:pt>
                <c:pt idx="1">
                  <c:v>Feb</c:v>
                </c:pt>
                <c:pt idx="2">
                  <c:v>Mar</c:v>
                </c:pt>
                <c:pt idx="3">
                  <c:v>Apr</c:v>
                </c:pt>
                <c:pt idx="4">
                  <c:v>May</c:v>
                </c:pt>
                <c:pt idx="5">
                  <c:v>Jun</c:v>
                </c:pt>
                <c:pt idx="6">
                  <c:v>Jul</c:v>
                </c:pt>
              </c:strCache>
            </c:strRef>
          </c:cat>
          <c:val>
            <c:numRef>
              <c:f>'Pivot Table 3 - 4'!$B$2:$B$9</c:f>
              <c:numCache>
                <c:formatCode>General</c:formatCode>
                <c:ptCount val="7"/>
                <c:pt idx="0">
                  <c:v>24</c:v>
                </c:pt>
                <c:pt idx="1">
                  <c:v>61</c:v>
                </c:pt>
                <c:pt idx="2">
                  <c:v>179</c:v>
                </c:pt>
                <c:pt idx="3">
                  <c:v>186</c:v>
                </c:pt>
                <c:pt idx="4">
                  <c:v>187</c:v>
                </c:pt>
                <c:pt idx="5">
                  <c:v>187</c:v>
                </c:pt>
                <c:pt idx="6">
                  <c:v>187</c:v>
                </c:pt>
              </c:numCache>
            </c:numRef>
          </c:val>
          <c:smooth val="0"/>
          <c:extLst>
            <c:ext xmlns:c16="http://schemas.microsoft.com/office/drawing/2014/chart" uri="{C3380CC4-5D6E-409C-BE32-E72D297353CC}">
              <c16:uniqueId val="{00000000-F26B-492A-A5B9-DA3FA7B64753}"/>
            </c:ext>
          </c:extLst>
        </c:ser>
        <c:dLbls>
          <c:showLegendKey val="0"/>
          <c:showVal val="0"/>
          <c:showCatName val="0"/>
          <c:showSerName val="0"/>
          <c:showPercent val="0"/>
          <c:showBubbleSize val="0"/>
        </c:dLbls>
        <c:marker val="1"/>
        <c:smooth val="0"/>
        <c:axId val="1831941856"/>
        <c:axId val="1831940896"/>
      </c:lineChart>
      <c:catAx>
        <c:axId val="1831941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0896"/>
        <c:crosses val="autoZero"/>
        <c:auto val="1"/>
        <c:lblAlgn val="ctr"/>
        <c:lblOffset val="100"/>
        <c:noMultiLvlLbl val="0"/>
      </c:catAx>
      <c:valAx>
        <c:axId val="183194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18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5 - 6!PivotTable5</c:name>
    <c:fmtId val="5"/>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Active</a:t>
            </a:r>
            <a:r>
              <a:rPr lang="en-US" sz="1200" baseline="0"/>
              <a:t> Case Trend (Hospital and Healthcare Pressure)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5 - 6'!$B$2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5 - 6'!$A$3:$A$10</c:f>
              <c:strCache>
                <c:ptCount val="7"/>
                <c:pt idx="0">
                  <c:v>Jan</c:v>
                </c:pt>
                <c:pt idx="1">
                  <c:v>Feb</c:v>
                </c:pt>
                <c:pt idx="2">
                  <c:v>Mar</c:v>
                </c:pt>
                <c:pt idx="3">
                  <c:v>Apr</c:v>
                </c:pt>
                <c:pt idx="4">
                  <c:v>May</c:v>
                </c:pt>
                <c:pt idx="5">
                  <c:v>Jun</c:v>
                </c:pt>
                <c:pt idx="6">
                  <c:v>Jul</c:v>
                </c:pt>
              </c:strCache>
            </c:strRef>
          </c:cat>
          <c:val>
            <c:numRef>
              <c:f>'Pivot Table 5 - 6'!$B$3:$B$10</c:f>
              <c:numCache>
                <c:formatCode>General</c:formatCode>
                <c:ptCount val="7"/>
                <c:pt idx="0">
                  <c:v>9495</c:v>
                </c:pt>
                <c:pt idx="1">
                  <c:v>58996</c:v>
                </c:pt>
                <c:pt idx="2">
                  <c:v>652803</c:v>
                </c:pt>
                <c:pt idx="3">
                  <c:v>2044556</c:v>
                </c:pt>
                <c:pt idx="4">
                  <c:v>3226335</c:v>
                </c:pt>
                <c:pt idx="5">
                  <c:v>4657028</c:v>
                </c:pt>
                <c:pt idx="6">
                  <c:v>6358362</c:v>
                </c:pt>
              </c:numCache>
            </c:numRef>
          </c:val>
          <c:smooth val="0"/>
          <c:extLst>
            <c:ext xmlns:c16="http://schemas.microsoft.com/office/drawing/2014/chart" uri="{C3380CC4-5D6E-409C-BE32-E72D297353CC}">
              <c16:uniqueId val="{00000000-A2CB-4F38-BD28-218CAA3F98A9}"/>
            </c:ext>
          </c:extLst>
        </c:ser>
        <c:dLbls>
          <c:showLegendKey val="0"/>
          <c:showVal val="0"/>
          <c:showCatName val="0"/>
          <c:showSerName val="0"/>
          <c:showPercent val="0"/>
          <c:showBubbleSize val="0"/>
        </c:dLbls>
        <c:marker val="1"/>
        <c:smooth val="0"/>
        <c:axId val="986025424"/>
        <c:axId val="986046064"/>
      </c:lineChart>
      <c:catAx>
        <c:axId val="986025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46064"/>
        <c:crosses val="autoZero"/>
        <c:auto val="1"/>
        <c:lblAlgn val="ctr"/>
        <c:lblOffset val="100"/>
        <c:noMultiLvlLbl val="0"/>
      </c:catAx>
      <c:valAx>
        <c:axId val="98604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25424"/>
        <c:crosses val="autoZero"/>
        <c:crossBetween val="between"/>
        <c:dispUnits>
          <c:builtInUnit val="millions"/>
          <c:dispUnitsLbl>
            <c:layout>
              <c:manualLayout>
                <c:xMode val="edge"/>
                <c:yMode val="edge"/>
                <c:x val="2.2222222222222223E-2"/>
                <c:y val="0.42377333041703119"/>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5 - 6!PivotTable6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 Of Daily Growth</a:t>
            </a:r>
          </a:p>
        </c:rich>
      </c:tx>
      <c:layout>
        <c:manualLayout>
          <c:xMode val="edge"/>
          <c:yMode val="edge"/>
          <c:x val="0.3953541119860016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5 - 6'!$G$3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5 - 6'!$F$4:$F$11</c:f>
              <c:strCache>
                <c:ptCount val="7"/>
                <c:pt idx="0">
                  <c:v>Jan</c:v>
                </c:pt>
                <c:pt idx="1">
                  <c:v>Feb</c:v>
                </c:pt>
                <c:pt idx="2">
                  <c:v>Mar</c:v>
                </c:pt>
                <c:pt idx="3">
                  <c:v>Apr</c:v>
                </c:pt>
                <c:pt idx="4">
                  <c:v>May</c:v>
                </c:pt>
                <c:pt idx="5">
                  <c:v>Jun</c:v>
                </c:pt>
                <c:pt idx="6">
                  <c:v>Jul</c:v>
                </c:pt>
              </c:strCache>
            </c:strRef>
          </c:cat>
          <c:val>
            <c:numRef>
              <c:f>'Pivot Table 5 - 6'!$G$4:$G$11</c:f>
              <c:numCache>
                <c:formatCode>0.00</c:formatCode>
                <c:ptCount val="7"/>
                <c:pt idx="0">
                  <c:v>23.918231453611959</c:v>
                </c:pt>
                <c:pt idx="1">
                  <c:v>6.8459917324992627</c:v>
                </c:pt>
                <c:pt idx="2">
                  <c:v>7.1686670561938772</c:v>
                </c:pt>
                <c:pt idx="3">
                  <c:v>4.3142687661829902</c:v>
                </c:pt>
                <c:pt idx="4">
                  <c:v>2.039442716486433</c:v>
                </c:pt>
                <c:pt idx="5">
                  <c:v>1.7332379643953331</c:v>
                </c:pt>
                <c:pt idx="6">
                  <c:v>1.6731232316176303</c:v>
                </c:pt>
              </c:numCache>
            </c:numRef>
          </c:val>
          <c:smooth val="0"/>
          <c:extLst>
            <c:ext xmlns:c16="http://schemas.microsoft.com/office/drawing/2014/chart" uri="{C3380CC4-5D6E-409C-BE32-E72D297353CC}">
              <c16:uniqueId val="{00000000-041D-48E1-A26C-7F537BA2770A}"/>
            </c:ext>
          </c:extLst>
        </c:ser>
        <c:dLbls>
          <c:showLegendKey val="0"/>
          <c:showVal val="0"/>
          <c:showCatName val="0"/>
          <c:showSerName val="0"/>
          <c:showPercent val="0"/>
          <c:showBubbleSize val="0"/>
        </c:dLbls>
        <c:marker val="1"/>
        <c:smooth val="0"/>
        <c:axId val="1854705280"/>
        <c:axId val="1854689440"/>
      </c:lineChart>
      <c:catAx>
        <c:axId val="18547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89440"/>
        <c:crosses val="autoZero"/>
        <c:auto val="1"/>
        <c:lblAlgn val="ctr"/>
        <c:lblOffset val="100"/>
        <c:noMultiLvlLbl val="0"/>
      </c:catAx>
      <c:valAx>
        <c:axId val="18546894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0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1 - 2!PivotTable1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8283777345029"/>
          <c:y val="5.8997448793212885E-2"/>
          <c:w val="0.57746411435398182"/>
          <c:h val="0.81700993158914292"/>
        </c:manualLayout>
      </c:layout>
      <c:barChart>
        <c:barDir val="col"/>
        <c:grouping val="clustered"/>
        <c:varyColors val="0"/>
        <c:ser>
          <c:idx val="0"/>
          <c:order val="0"/>
          <c:tx>
            <c:strRef>
              <c:f>'Pivot Table 1 - 2'!$B$2</c:f>
              <c:strCache>
                <c:ptCount val="1"/>
                <c:pt idx="0">
                  <c:v>Confirmed Cases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1 - 2'!$B$3:$B$10</c:f>
              <c:numCache>
                <c:formatCode>General</c:formatCode>
                <c:ptCount val="7"/>
                <c:pt idx="0">
                  <c:v>9927</c:v>
                </c:pt>
                <c:pt idx="1">
                  <c:v>85306</c:v>
                </c:pt>
                <c:pt idx="2">
                  <c:v>871355</c:v>
                </c:pt>
                <c:pt idx="3">
                  <c:v>3268876</c:v>
                </c:pt>
                <c:pt idx="4">
                  <c:v>6185530</c:v>
                </c:pt>
                <c:pt idx="5">
                  <c:v>10449697</c:v>
                </c:pt>
                <c:pt idx="6">
                  <c:v>16480485</c:v>
                </c:pt>
              </c:numCache>
            </c:numRef>
          </c:val>
          <c:extLst>
            <c:ext xmlns:c16="http://schemas.microsoft.com/office/drawing/2014/chart" uri="{C3380CC4-5D6E-409C-BE32-E72D297353CC}">
              <c16:uniqueId val="{00000000-3A7D-4CE3-9891-F6ACB912890A}"/>
            </c:ext>
          </c:extLst>
        </c:ser>
        <c:ser>
          <c:idx val="2"/>
          <c:order val="2"/>
          <c:tx>
            <c:strRef>
              <c:f>'Pivot Table 1 - 2'!$D$2</c:f>
              <c:strCache>
                <c:ptCount val="1"/>
                <c:pt idx="0">
                  <c:v>Active Cases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1 - 2'!$D$3:$D$10</c:f>
              <c:numCache>
                <c:formatCode>General</c:formatCode>
                <c:ptCount val="7"/>
                <c:pt idx="0">
                  <c:v>9495</c:v>
                </c:pt>
                <c:pt idx="1">
                  <c:v>58996</c:v>
                </c:pt>
                <c:pt idx="2">
                  <c:v>652803</c:v>
                </c:pt>
                <c:pt idx="3">
                  <c:v>2044556</c:v>
                </c:pt>
                <c:pt idx="4">
                  <c:v>3226335</c:v>
                </c:pt>
                <c:pt idx="5">
                  <c:v>4657028</c:v>
                </c:pt>
                <c:pt idx="6">
                  <c:v>6358362</c:v>
                </c:pt>
              </c:numCache>
            </c:numRef>
          </c:val>
          <c:extLst>
            <c:ext xmlns:c16="http://schemas.microsoft.com/office/drawing/2014/chart" uri="{C3380CC4-5D6E-409C-BE32-E72D297353CC}">
              <c16:uniqueId val="{00000002-3A7D-4CE3-9891-F6ACB912890A}"/>
            </c:ext>
          </c:extLst>
        </c:ser>
        <c:ser>
          <c:idx val="3"/>
          <c:order val="3"/>
          <c:tx>
            <c:strRef>
              <c:f>'Pivot Table 1 - 2'!$E$2</c:f>
              <c:strCache>
                <c:ptCount val="1"/>
                <c:pt idx="0">
                  <c:v>Recovered Cases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1 - 2'!$A$3:$A$10</c:f>
              <c:strCache>
                <c:ptCount val="7"/>
                <c:pt idx="0">
                  <c:v>Jan</c:v>
                </c:pt>
                <c:pt idx="1">
                  <c:v>Feb</c:v>
                </c:pt>
                <c:pt idx="2">
                  <c:v>Mar</c:v>
                </c:pt>
                <c:pt idx="3">
                  <c:v>Apr</c:v>
                </c:pt>
                <c:pt idx="4">
                  <c:v>May</c:v>
                </c:pt>
                <c:pt idx="5">
                  <c:v>Jun</c:v>
                </c:pt>
                <c:pt idx="6">
                  <c:v>Jul</c:v>
                </c:pt>
              </c:strCache>
            </c:strRef>
          </c:cat>
          <c:val>
            <c:numRef>
              <c:f>'Pivot Table 1 - 2'!$E$3:$E$10</c:f>
              <c:numCache>
                <c:formatCode>General</c:formatCode>
                <c:ptCount val="7"/>
                <c:pt idx="0">
                  <c:v>219</c:v>
                </c:pt>
                <c:pt idx="1">
                  <c:v>38314</c:v>
                </c:pt>
                <c:pt idx="2">
                  <c:v>174074</c:v>
                </c:pt>
                <c:pt idx="3">
                  <c:v>989616</c:v>
                </c:pt>
                <c:pt idx="4">
                  <c:v>2585589</c:v>
                </c:pt>
                <c:pt idx="5">
                  <c:v>5281459</c:v>
                </c:pt>
                <c:pt idx="6">
                  <c:v>9468087</c:v>
                </c:pt>
              </c:numCache>
            </c:numRef>
          </c:val>
          <c:extLst>
            <c:ext xmlns:c16="http://schemas.microsoft.com/office/drawing/2014/chart" uri="{C3380CC4-5D6E-409C-BE32-E72D297353CC}">
              <c16:uniqueId val="{00000003-3A7D-4CE3-9891-F6ACB912890A}"/>
            </c:ext>
          </c:extLst>
        </c:ser>
        <c:dLbls>
          <c:showLegendKey val="0"/>
          <c:showVal val="0"/>
          <c:showCatName val="0"/>
          <c:showSerName val="0"/>
          <c:showPercent val="0"/>
          <c:showBubbleSize val="0"/>
        </c:dLbls>
        <c:gapWidth val="100"/>
        <c:axId val="1854716320"/>
        <c:axId val="1854716800"/>
      </c:barChart>
      <c:lineChart>
        <c:grouping val="standard"/>
        <c:varyColors val="0"/>
        <c:ser>
          <c:idx val="1"/>
          <c:order val="1"/>
          <c:tx>
            <c:strRef>
              <c:f>'Pivot Table 1 - 2'!$C$2</c:f>
              <c:strCache>
                <c:ptCount val="1"/>
                <c:pt idx="0">
                  <c:v>Total 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 1 - 2'!$A$3:$A$10</c:f>
              <c:strCache>
                <c:ptCount val="7"/>
                <c:pt idx="0">
                  <c:v>Jan</c:v>
                </c:pt>
                <c:pt idx="1">
                  <c:v>Feb</c:v>
                </c:pt>
                <c:pt idx="2">
                  <c:v>Mar</c:v>
                </c:pt>
                <c:pt idx="3">
                  <c:v>Apr</c:v>
                </c:pt>
                <c:pt idx="4">
                  <c:v>May</c:v>
                </c:pt>
                <c:pt idx="5">
                  <c:v>Jun</c:v>
                </c:pt>
                <c:pt idx="6">
                  <c:v>Jul</c:v>
                </c:pt>
              </c:strCache>
            </c:strRef>
          </c:cat>
          <c:val>
            <c:numRef>
              <c:f>'Pivot Table 1 - 2'!$C$3:$C$10</c:f>
              <c:numCache>
                <c:formatCode>General</c:formatCode>
                <c:ptCount val="7"/>
                <c:pt idx="0">
                  <c:v>213</c:v>
                </c:pt>
                <c:pt idx="1">
                  <c:v>2936</c:v>
                </c:pt>
                <c:pt idx="2">
                  <c:v>44478</c:v>
                </c:pt>
                <c:pt idx="3">
                  <c:v>234704</c:v>
                </c:pt>
                <c:pt idx="4">
                  <c:v>373606</c:v>
                </c:pt>
                <c:pt idx="5">
                  <c:v>511210</c:v>
                </c:pt>
                <c:pt idx="6">
                  <c:v>654036</c:v>
                </c:pt>
              </c:numCache>
            </c:numRef>
          </c:val>
          <c:smooth val="0"/>
          <c:extLst>
            <c:ext xmlns:c16="http://schemas.microsoft.com/office/drawing/2014/chart" uri="{C3380CC4-5D6E-409C-BE32-E72D297353CC}">
              <c16:uniqueId val="{00000001-3A7D-4CE3-9891-F6ACB912890A}"/>
            </c:ext>
          </c:extLst>
        </c:ser>
        <c:dLbls>
          <c:showLegendKey val="0"/>
          <c:showVal val="0"/>
          <c:showCatName val="0"/>
          <c:showSerName val="0"/>
          <c:showPercent val="0"/>
          <c:showBubbleSize val="0"/>
        </c:dLbls>
        <c:marker val="1"/>
        <c:smooth val="0"/>
        <c:axId val="1831889536"/>
        <c:axId val="1831898656"/>
      </c:lineChart>
      <c:catAx>
        <c:axId val="1854716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16800"/>
        <c:crosses val="autoZero"/>
        <c:auto val="1"/>
        <c:lblAlgn val="ctr"/>
        <c:lblOffset val="100"/>
        <c:noMultiLvlLbl val="0"/>
      </c:catAx>
      <c:valAx>
        <c:axId val="185471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16320"/>
        <c:crosses val="autoZero"/>
        <c:crossBetween val="between"/>
        <c:dispUnits>
          <c:builtInUnit val="millions"/>
          <c:dispUnitsLbl>
            <c:layout>
              <c:manualLayout>
                <c:xMode val="edge"/>
                <c:yMode val="edge"/>
                <c:x val="1.9444444444444445E-2"/>
                <c:y val="0.43055555555555558"/>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31898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89536"/>
        <c:crosses val="max"/>
        <c:crossBetween val="between"/>
      </c:valAx>
      <c:catAx>
        <c:axId val="1831889536"/>
        <c:scaling>
          <c:orientation val="minMax"/>
        </c:scaling>
        <c:delete val="1"/>
        <c:axPos val="b"/>
        <c:numFmt formatCode="General" sourceLinked="1"/>
        <c:majorTickMark val="out"/>
        <c:minorTickMark val="none"/>
        <c:tickLblPos val="nextTo"/>
        <c:crossAx val="1831898656"/>
        <c:crosses val="autoZero"/>
        <c:auto val="1"/>
        <c:lblAlgn val="ctr"/>
        <c:lblOffset val="100"/>
        <c:noMultiLvlLbl val="0"/>
      </c:catAx>
      <c:spPr>
        <a:noFill/>
        <a:ln>
          <a:noFill/>
        </a:ln>
        <a:effectLst/>
      </c:spPr>
    </c:plotArea>
    <c:legend>
      <c:legendPos val="r"/>
      <c:layout>
        <c:manualLayout>
          <c:xMode val="edge"/>
          <c:yMode val="edge"/>
          <c:x val="0.80741102192028658"/>
          <c:y val="5.6176804838382041E-2"/>
          <c:w val="0.17637332435584804"/>
          <c:h val="0.84473873252195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1 - 2!PivotTable2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2537182852144"/>
          <c:y val="5.0925925925925923E-2"/>
          <c:w val="0.62984470691163608"/>
          <c:h val="0.84204505686789155"/>
        </c:manualLayout>
      </c:layout>
      <c:lineChart>
        <c:grouping val="standard"/>
        <c:varyColors val="0"/>
        <c:ser>
          <c:idx val="0"/>
          <c:order val="0"/>
          <c:tx>
            <c:strRef>
              <c:f>'Pivot Table 1 - 2'!$H$2</c:f>
              <c:strCache>
                <c:ptCount val="1"/>
                <c:pt idx="0">
                  <c:v>New cases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1 - 2'!$H$3:$H$10</c:f>
              <c:numCache>
                <c:formatCode>General</c:formatCode>
                <c:ptCount val="7"/>
                <c:pt idx="0">
                  <c:v>9375</c:v>
                </c:pt>
                <c:pt idx="1">
                  <c:v>75379</c:v>
                </c:pt>
                <c:pt idx="2">
                  <c:v>786064</c:v>
                </c:pt>
                <c:pt idx="3">
                  <c:v>2412383</c:v>
                </c:pt>
                <c:pt idx="4">
                  <c:v>2921042</c:v>
                </c:pt>
                <c:pt idx="5">
                  <c:v>4265801</c:v>
                </c:pt>
                <c:pt idx="6">
                  <c:v>6030911</c:v>
                </c:pt>
              </c:numCache>
            </c:numRef>
          </c:val>
          <c:smooth val="0"/>
          <c:extLst>
            <c:ext xmlns:c16="http://schemas.microsoft.com/office/drawing/2014/chart" uri="{C3380CC4-5D6E-409C-BE32-E72D297353CC}">
              <c16:uniqueId val="{00000000-04D3-4F65-8546-5CFC35CDEA04}"/>
            </c:ext>
          </c:extLst>
        </c:ser>
        <c:ser>
          <c:idx val="1"/>
          <c:order val="1"/>
          <c:tx>
            <c:strRef>
              <c:f>'Pivot Table 1 - 2'!$I$2</c:f>
              <c:strCache>
                <c:ptCount val="1"/>
                <c:pt idx="0">
                  <c:v>New 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1 - 2'!$I$3:$I$10</c:f>
              <c:numCache>
                <c:formatCode>General</c:formatCode>
                <c:ptCount val="7"/>
                <c:pt idx="0">
                  <c:v>199</c:v>
                </c:pt>
                <c:pt idx="1">
                  <c:v>2723</c:v>
                </c:pt>
                <c:pt idx="2">
                  <c:v>41542</c:v>
                </c:pt>
                <c:pt idx="3">
                  <c:v>190226</c:v>
                </c:pt>
                <c:pt idx="4">
                  <c:v>138902</c:v>
                </c:pt>
                <c:pt idx="5">
                  <c:v>137604</c:v>
                </c:pt>
                <c:pt idx="6">
                  <c:v>142826</c:v>
                </c:pt>
              </c:numCache>
            </c:numRef>
          </c:val>
          <c:smooth val="0"/>
          <c:extLst>
            <c:ext xmlns:c16="http://schemas.microsoft.com/office/drawing/2014/chart" uri="{C3380CC4-5D6E-409C-BE32-E72D297353CC}">
              <c16:uniqueId val="{00000001-04D3-4F65-8546-5CFC35CDEA04}"/>
            </c:ext>
          </c:extLst>
        </c:ser>
        <c:ser>
          <c:idx val="2"/>
          <c:order val="2"/>
          <c:tx>
            <c:strRef>
              <c:f>'Pivot Table 1 - 2'!$J$2</c:f>
              <c:strCache>
                <c:ptCount val="1"/>
                <c:pt idx="0">
                  <c:v>New recovered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1 - 2'!$G$3:$G$10</c:f>
              <c:strCache>
                <c:ptCount val="7"/>
                <c:pt idx="0">
                  <c:v>Jan</c:v>
                </c:pt>
                <c:pt idx="1">
                  <c:v>Feb</c:v>
                </c:pt>
                <c:pt idx="2">
                  <c:v>Mar</c:v>
                </c:pt>
                <c:pt idx="3">
                  <c:v>Apr</c:v>
                </c:pt>
                <c:pt idx="4">
                  <c:v>May</c:v>
                </c:pt>
                <c:pt idx="5">
                  <c:v>Jun</c:v>
                </c:pt>
                <c:pt idx="6">
                  <c:v>Jul</c:v>
                </c:pt>
              </c:strCache>
            </c:strRef>
          </c:cat>
          <c:val>
            <c:numRef>
              <c:f>'Pivot Table 1 - 2'!$J$3:$J$10</c:f>
              <c:numCache>
                <c:formatCode>General</c:formatCode>
                <c:ptCount val="7"/>
                <c:pt idx="0">
                  <c:v>194</c:v>
                </c:pt>
                <c:pt idx="1">
                  <c:v>38095</c:v>
                </c:pt>
                <c:pt idx="2">
                  <c:v>135760</c:v>
                </c:pt>
                <c:pt idx="3">
                  <c:v>815542</c:v>
                </c:pt>
                <c:pt idx="4">
                  <c:v>1595973</c:v>
                </c:pt>
                <c:pt idx="5">
                  <c:v>2695870</c:v>
                </c:pt>
                <c:pt idx="6">
                  <c:v>4186628</c:v>
                </c:pt>
              </c:numCache>
            </c:numRef>
          </c:val>
          <c:smooth val="0"/>
          <c:extLst>
            <c:ext xmlns:c16="http://schemas.microsoft.com/office/drawing/2014/chart" uri="{C3380CC4-5D6E-409C-BE32-E72D297353CC}">
              <c16:uniqueId val="{00000002-04D3-4F65-8546-5CFC35CDEA04}"/>
            </c:ext>
          </c:extLst>
        </c:ser>
        <c:dLbls>
          <c:showLegendKey val="0"/>
          <c:showVal val="0"/>
          <c:showCatName val="0"/>
          <c:showSerName val="0"/>
          <c:showPercent val="0"/>
          <c:showBubbleSize val="0"/>
        </c:dLbls>
        <c:marker val="1"/>
        <c:smooth val="0"/>
        <c:axId val="1854746560"/>
        <c:axId val="1854748960"/>
      </c:lineChart>
      <c:catAx>
        <c:axId val="1854746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48960"/>
        <c:crosses val="autoZero"/>
        <c:auto val="1"/>
        <c:lblAlgn val="ctr"/>
        <c:lblOffset val="100"/>
        <c:noMultiLvlLbl val="0"/>
      </c:catAx>
      <c:valAx>
        <c:axId val="185474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46560"/>
        <c:crosses val="autoZero"/>
        <c:crossBetween val="between"/>
        <c:dispUnits>
          <c:builtInUnit val="millions"/>
          <c:dispUnitsLbl>
            <c:layout>
              <c:manualLayout>
                <c:xMode val="edge"/>
                <c:yMode val="edge"/>
                <c:x val="1.2152668416447944E-2"/>
                <c:y val="0.33333333333333331"/>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3433267716535442"/>
          <c:y val="0.11892279090113737"/>
          <c:w val="0.15177843394575674"/>
          <c:h val="0.71585812190142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2!PivotTable11</c:name>
    <c:fmtId val="6"/>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 &amp; 2'!$B$4</c:f>
              <c:strCache>
                <c:ptCount val="1"/>
                <c:pt idx="0">
                  <c:v>Sum of Confirmed Cases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invertIfNegative val="0"/>
          <c:cat>
            <c:strRef>
              <c:f>'Pivot Table 1 &amp; 2'!$A$5:$A$12</c:f>
              <c:strCache>
                <c:ptCount val="7"/>
                <c:pt idx="0">
                  <c:v>Jan</c:v>
                </c:pt>
                <c:pt idx="1">
                  <c:v>Feb</c:v>
                </c:pt>
                <c:pt idx="2">
                  <c:v>Mar</c:v>
                </c:pt>
                <c:pt idx="3">
                  <c:v>Apr</c:v>
                </c:pt>
                <c:pt idx="4">
                  <c:v>May</c:v>
                </c:pt>
                <c:pt idx="5">
                  <c:v>Jun</c:v>
                </c:pt>
                <c:pt idx="6">
                  <c:v>Jul</c:v>
                </c:pt>
              </c:strCache>
            </c:strRef>
          </c:cat>
          <c:val>
            <c:numRef>
              <c:f>'Pivot Table 1 &amp; 2'!$B$5:$B$12</c:f>
              <c:numCache>
                <c:formatCode>General</c:formatCode>
                <c:ptCount val="7"/>
                <c:pt idx="0">
                  <c:v>38534</c:v>
                </c:pt>
                <c:pt idx="1">
                  <c:v>1663437</c:v>
                </c:pt>
                <c:pt idx="2">
                  <c:v>9002815</c:v>
                </c:pt>
                <c:pt idx="3">
                  <c:v>63391662</c:v>
                </c:pt>
                <c:pt idx="4">
                  <c:v>144990399</c:v>
                </c:pt>
                <c:pt idx="5">
                  <c:v>246525787</c:v>
                </c:pt>
                <c:pt idx="6">
                  <c:v>362895848</c:v>
                </c:pt>
              </c:numCache>
            </c:numRef>
          </c:val>
          <c:extLst>
            <c:ext xmlns:c16="http://schemas.microsoft.com/office/drawing/2014/chart" uri="{C3380CC4-5D6E-409C-BE32-E72D297353CC}">
              <c16:uniqueId val="{00000000-4726-4EF2-8328-1A02D8FEAB4E}"/>
            </c:ext>
          </c:extLst>
        </c:ser>
        <c:ser>
          <c:idx val="1"/>
          <c:order val="1"/>
          <c:tx>
            <c:strRef>
              <c:f>'Pivot Table 1 &amp; 2'!$C$4</c:f>
              <c:strCache>
                <c:ptCount val="1"/>
                <c:pt idx="0">
                  <c:v>Sum of Total Deaths</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invertIfNegative val="0"/>
          <c:cat>
            <c:strRef>
              <c:f>'Pivot Table 1 &amp; 2'!$A$5:$A$12</c:f>
              <c:strCache>
                <c:ptCount val="7"/>
                <c:pt idx="0">
                  <c:v>Jan</c:v>
                </c:pt>
                <c:pt idx="1">
                  <c:v>Feb</c:v>
                </c:pt>
                <c:pt idx="2">
                  <c:v>Mar</c:v>
                </c:pt>
                <c:pt idx="3">
                  <c:v>Apr</c:v>
                </c:pt>
                <c:pt idx="4">
                  <c:v>May</c:v>
                </c:pt>
                <c:pt idx="5">
                  <c:v>Jun</c:v>
                </c:pt>
                <c:pt idx="6">
                  <c:v>Jul</c:v>
                </c:pt>
              </c:strCache>
            </c:strRef>
          </c:cat>
          <c:val>
            <c:numRef>
              <c:f>'Pivot Table 1 &amp; 2'!$C$5:$C$12</c:f>
              <c:numCache>
                <c:formatCode>General</c:formatCode>
                <c:ptCount val="7"/>
                <c:pt idx="0">
                  <c:v>875</c:v>
                </c:pt>
                <c:pt idx="1">
                  <c:v>46875</c:v>
                </c:pt>
                <c:pt idx="2">
                  <c:v>397601</c:v>
                </c:pt>
                <c:pt idx="3">
                  <c:v>4311214</c:v>
                </c:pt>
                <c:pt idx="4">
                  <c:v>9609604</c:v>
                </c:pt>
                <c:pt idx="5">
                  <c:v>13309053</c:v>
                </c:pt>
                <c:pt idx="6">
                  <c:v>15709667</c:v>
                </c:pt>
              </c:numCache>
            </c:numRef>
          </c:val>
          <c:extLst>
            <c:ext xmlns:c16="http://schemas.microsoft.com/office/drawing/2014/chart" uri="{C3380CC4-5D6E-409C-BE32-E72D297353CC}">
              <c16:uniqueId val="{00000001-4726-4EF2-8328-1A02D8FEAB4E}"/>
            </c:ext>
          </c:extLst>
        </c:ser>
        <c:ser>
          <c:idx val="2"/>
          <c:order val="2"/>
          <c:tx>
            <c:strRef>
              <c:f>'Pivot Table 1 &amp; 2'!$D$4</c:f>
              <c:strCache>
                <c:ptCount val="1"/>
                <c:pt idx="0">
                  <c:v>Sum of Total Recovered Cases</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invertIfNegative val="0"/>
          <c:cat>
            <c:strRef>
              <c:f>'Pivot Table 1 &amp; 2'!$A$5:$A$12</c:f>
              <c:strCache>
                <c:ptCount val="7"/>
                <c:pt idx="0">
                  <c:v>Jan</c:v>
                </c:pt>
                <c:pt idx="1">
                  <c:v>Feb</c:v>
                </c:pt>
                <c:pt idx="2">
                  <c:v>Mar</c:v>
                </c:pt>
                <c:pt idx="3">
                  <c:v>Apr</c:v>
                </c:pt>
                <c:pt idx="4">
                  <c:v>May</c:v>
                </c:pt>
                <c:pt idx="5">
                  <c:v>Jun</c:v>
                </c:pt>
                <c:pt idx="6">
                  <c:v>Jul</c:v>
                </c:pt>
              </c:strCache>
            </c:strRef>
          </c:cat>
          <c:val>
            <c:numRef>
              <c:f>'Pivot Table 1 &amp; 2'!$D$5:$D$12</c:f>
              <c:numCache>
                <c:formatCode>General</c:formatCode>
                <c:ptCount val="7"/>
                <c:pt idx="0">
                  <c:v>813</c:v>
                </c:pt>
                <c:pt idx="1">
                  <c:v>363669</c:v>
                </c:pt>
                <c:pt idx="2">
                  <c:v>2644372</c:v>
                </c:pt>
                <c:pt idx="3">
                  <c:v>15944020</c:v>
                </c:pt>
                <c:pt idx="4">
                  <c:v>52876838</c:v>
                </c:pt>
                <c:pt idx="5">
                  <c:v>116984268</c:v>
                </c:pt>
                <c:pt idx="6">
                  <c:v>199594224</c:v>
                </c:pt>
              </c:numCache>
            </c:numRef>
          </c:val>
          <c:extLst>
            <c:ext xmlns:c16="http://schemas.microsoft.com/office/drawing/2014/chart" uri="{C3380CC4-5D6E-409C-BE32-E72D297353CC}">
              <c16:uniqueId val="{00000002-4726-4EF2-8328-1A02D8FEAB4E}"/>
            </c:ext>
          </c:extLst>
        </c:ser>
        <c:ser>
          <c:idx val="3"/>
          <c:order val="3"/>
          <c:tx>
            <c:strRef>
              <c:f>'Pivot Table 1 &amp; 2'!$E$4</c:f>
              <c:strCache>
                <c:ptCount val="1"/>
                <c:pt idx="0">
                  <c:v>Sum of Active Cases</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invertIfNegative val="0"/>
          <c:cat>
            <c:strRef>
              <c:f>'Pivot Table 1 &amp; 2'!$A$5:$A$12</c:f>
              <c:strCache>
                <c:ptCount val="7"/>
                <c:pt idx="0">
                  <c:v>Jan</c:v>
                </c:pt>
                <c:pt idx="1">
                  <c:v>Feb</c:v>
                </c:pt>
                <c:pt idx="2">
                  <c:v>Mar</c:v>
                </c:pt>
                <c:pt idx="3">
                  <c:v>Apr</c:v>
                </c:pt>
                <c:pt idx="4">
                  <c:v>May</c:v>
                </c:pt>
                <c:pt idx="5">
                  <c:v>Jun</c:v>
                </c:pt>
                <c:pt idx="6">
                  <c:v>Jul</c:v>
                </c:pt>
              </c:strCache>
            </c:strRef>
          </c:cat>
          <c:val>
            <c:numRef>
              <c:f>'Pivot Table 1 &amp; 2'!$E$5:$E$12</c:f>
              <c:numCache>
                <c:formatCode>General</c:formatCode>
                <c:ptCount val="7"/>
                <c:pt idx="0">
                  <c:v>36300</c:v>
                </c:pt>
                <c:pt idx="1">
                  <c:v>1252893</c:v>
                </c:pt>
                <c:pt idx="2">
                  <c:v>5960842</c:v>
                </c:pt>
                <c:pt idx="3">
                  <c:v>43136428</c:v>
                </c:pt>
                <c:pt idx="4">
                  <c:v>82503957</c:v>
                </c:pt>
                <c:pt idx="5">
                  <c:v>116232466</c:v>
                </c:pt>
                <c:pt idx="6">
                  <c:v>147591957</c:v>
                </c:pt>
              </c:numCache>
            </c:numRef>
          </c:val>
          <c:extLst>
            <c:ext xmlns:c16="http://schemas.microsoft.com/office/drawing/2014/chart" uri="{C3380CC4-5D6E-409C-BE32-E72D297353CC}">
              <c16:uniqueId val="{00000003-4726-4EF2-8328-1A02D8FEAB4E}"/>
            </c:ext>
          </c:extLst>
        </c:ser>
        <c:dLbls>
          <c:showLegendKey val="0"/>
          <c:showVal val="0"/>
          <c:showCatName val="0"/>
          <c:showSerName val="0"/>
          <c:showPercent val="0"/>
          <c:showBubbleSize val="0"/>
        </c:dLbls>
        <c:gapWidth val="150"/>
        <c:axId val="1170319999"/>
        <c:axId val="1170320479"/>
      </c:barChart>
      <c:catAx>
        <c:axId val="11703199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70320479"/>
        <c:crosses val="autoZero"/>
        <c:auto val="1"/>
        <c:lblAlgn val="ctr"/>
        <c:lblOffset val="100"/>
        <c:noMultiLvlLbl val="0"/>
      </c:catAx>
      <c:valAx>
        <c:axId val="11703204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31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1 &amp; 2!PivotTable12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 &amp; 2'!$I$4</c:f>
              <c:strCache>
                <c:ptCount val="1"/>
                <c:pt idx="0">
                  <c:v>Sum of New cases</c:v>
                </c:pt>
              </c:strCache>
            </c:strRef>
          </c:tx>
          <c:spPr>
            <a:solidFill>
              <a:schemeClr val="accent1"/>
            </a:solidFill>
            <a:ln>
              <a:noFill/>
            </a:ln>
            <a:effectLst/>
          </c:spPr>
          <c:invertIfNegative val="0"/>
          <c:cat>
            <c:strRef>
              <c:f>'Pivot Table 1 &amp; 2'!$H$5:$H$12</c:f>
              <c:strCache>
                <c:ptCount val="7"/>
                <c:pt idx="0">
                  <c:v>Jan</c:v>
                </c:pt>
                <c:pt idx="1">
                  <c:v>Feb</c:v>
                </c:pt>
                <c:pt idx="2">
                  <c:v>Mar</c:v>
                </c:pt>
                <c:pt idx="3">
                  <c:v>Apr</c:v>
                </c:pt>
                <c:pt idx="4">
                  <c:v>May</c:v>
                </c:pt>
                <c:pt idx="5">
                  <c:v>Jun</c:v>
                </c:pt>
                <c:pt idx="6">
                  <c:v>Jul</c:v>
                </c:pt>
              </c:strCache>
            </c:strRef>
          </c:cat>
          <c:val>
            <c:numRef>
              <c:f>'Pivot Table 1 &amp; 2'!$I$5:$I$12</c:f>
              <c:numCache>
                <c:formatCode>General</c:formatCode>
                <c:ptCount val="7"/>
                <c:pt idx="0">
                  <c:v>9375</c:v>
                </c:pt>
                <c:pt idx="1">
                  <c:v>75379</c:v>
                </c:pt>
                <c:pt idx="2">
                  <c:v>786064</c:v>
                </c:pt>
                <c:pt idx="3">
                  <c:v>2412383</c:v>
                </c:pt>
                <c:pt idx="4">
                  <c:v>2921042</c:v>
                </c:pt>
                <c:pt idx="5">
                  <c:v>4265801</c:v>
                </c:pt>
                <c:pt idx="6">
                  <c:v>6030911</c:v>
                </c:pt>
              </c:numCache>
            </c:numRef>
          </c:val>
          <c:extLst>
            <c:ext xmlns:c16="http://schemas.microsoft.com/office/drawing/2014/chart" uri="{C3380CC4-5D6E-409C-BE32-E72D297353CC}">
              <c16:uniqueId val="{00000000-4058-426C-AAAC-F000DDA0DDF9}"/>
            </c:ext>
          </c:extLst>
        </c:ser>
        <c:ser>
          <c:idx val="1"/>
          <c:order val="1"/>
          <c:tx>
            <c:strRef>
              <c:f>'Pivot Table 1 &amp; 2'!$J$4</c:f>
              <c:strCache>
                <c:ptCount val="1"/>
                <c:pt idx="0">
                  <c:v>Sum of New deaths</c:v>
                </c:pt>
              </c:strCache>
            </c:strRef>
          </c:tx>
          <c:spPr>
            <a:solidFill>
              <a:schemeClr val="accent2"/>
            </a:solidFill>
            <a:ln>
              <a:noFill/>
            </a:ln>
            <a:effectLst/>
          </c:spPr>
          <c:invertIfNegative val="0"/>
          <c:cat>
            <c:strRef>
              <c:f>'Pivot Table 1 &amp; 2'!$H$5:$H$12</c:f>
              <c:strCache>
                <c:ptCount val="7"/>
                <c:pt idx="0">
                  <c:v>Jan</c:v>
                </c:pt>
                <c:pt idx="1">
                  <c:v>Feb</c:v>
                </c:pt>
                <c:pt idx="2">
                  <c:v>Mar</c:v>
                </c:pt>
                <c:pt idx="3">
                  <c:v>Apr</c:v>
                </c:pt>
                <c:pt idx="4">
                  <c:v>May</c:v>
                </c:pt>
                <c:pt idx="5">
                  <c:v>Jun</c:v>
                </c:pt>
                <c:pt idx="6">
                  <c:v>Jul</c:v>
                </c:pt>
              </c:strCache>
            </c:strRef>
          </c:cat>
          <c:val>
            <c:numRef>
              <c:f>'Pivot Table 1 &amp; 2'!$J$5:$J$12</c:f>
              <c:numCache>
                <c:formatCode>General</c:formatCode>
                <c:ptCount val="7"/>
                <c:pt idx="0">
                  <c:v>199</c:v>
                </c:pt>
                <c:pt idx="1">
                  <c:v>2723</c:v>
                </c:pt>
                <c:pt idx="2">
                  <c:v>41542</c:v>
                </c:pt>
                <c:pt idx="3">
                  <c:v>190226</c:v>
                </c:pt>
                <c:pt idx="4">
                  <c:v>138902</c:v>
                </c:pt>
                <c:pt idx="5">
                  <c:v>137604</c:v>
                </c:pt>
                <c:pt idx="6">
                  <c:v>142826</c:v>
                </c:pt>
              </c:numCache>
            </c:numRef>
          </c:val>
          <c:extLst>
            <c:ext xmlns:c16="http://schemas.microsoft.com/office/drawing/2014/chart" uri="{C3380CC4-5D6E-409C-BE32-E72D297353CC}">
              <c16:uniqueId val="{00000001-4058-426C-AAAC-F000DDA0DDF9}"/>
            </c:ext>
          </c:extLst>
        </c:ser>
        <c:ser>
          <c:idx val="2"/>
          <c:order val="2"/>
          <c:tx>
            <c:strRef>
              <c:f>'Pivot Table 1 &amp; 2'!$K$4</c:f>
              <c:strCache>
                <c:ptCount val="1"/>
                <c:pt idx="0">
                  <c:v>Sum of New recovered</c:v>
                </c:pt>
              </c:strCache>
            </c:strRef>
          </c:tx>
          <c:spPr>
            <a:solidFill>
              <a:schemeClr val="accent3"/>
            </a:solidFill>
            <a:ln>
              <a:noFill/>
            </a:ln>
            <a:effectLst/>
          </c:spPr>
          <c:invertIfNegative val="0"/>
          <c:cat>
            <c:strRef>
              <c:f>'Pivot Table 1 &amp; 2'!$H$5:$H$12</c:f>
              <c:strCache>
                <c:ptCount val="7"/>
                <c:pt idx="0">
                  <c:v>Jan</c:v>
                </c:pt>
                <c:pt idx="1">
                  <c:v>Feb</c:v>
                </c:pt>
                <c:pt idx="2">
                  <c:v>Mar</c:v>
                </c:pt>
                <c:pt idx="3">
                  <c:v>Apr</c:v>
                </c:pt>
                <c:pt idx="4">
                  <c:v>May</c:v>
                </c:pt>
                <c:pt idx="5">
                  <c:v>Jun</c:v>
                </c:pt>
                <c:pt idx="6">
                  <c:v>Jul</c:v>
                </c:pt>
              </c:strCache>
            </c:strRef>
          </c:cat>
          <c:val>
            <c:numRef>
              <c:f>'Pivot Table 1 &amp; 2'!$K$5:$K$12</c:f>
              <c:numCache>
                <c:formatCode>General</c:formatCode>
                <c:ptCount val="7"/>
                <c:pt idx="0">
                  <c:v>194</c:v>
                </c:pt>
                <c:pt idx="1">
                  <c:v>38095</c:v>
                </c:pt>
                <c:pt idx="2">
                  <c:v>135760</c:v>
                </c:pt>
                <c:pt idx="3">
                  <c:v>815542</c:v>
                </c:pt>
                <c:pt idx="4">
                  <c:v>1595973</c:v>
                </c:pt>
                <c:pt idx="5">
                  <c:v>2695870</c:v>
                </c:pt>
                <c:pt idx="6">
                  <c:v>4186628</c:v>
                </c:pt>
              </c:numCache>
            </c:numRef>
          </c:val>
          <c:extLst>
            <c:ext xmlns:c16="http://schemas.microsoft.com/office/drawing/2014/chart" uri="{C3380CC4-5D6E-409C-BE32-E72D297353CC}">
              <c16:uniqueId val="{00000002-4058-426C-AAAC-F000DDA0DDF9}"/>
            </c:ext>
          </c:extLst>
        </c:ser>
        <c:dLbls>
          <c:showLegendKey val="0"/>
          <c:showVal val="0"/>
          <c:showCatName val="0"/>
          <c:showSerName val="0"/>
          <c:showPercent val="0"/>
          <c:showBubbleSize val="0"/>
        </c:dLbls>
        <c:gapWidth val="150"/>
        <c:axId val="194690383"/>
        <c:axId val="194687023"/>
      </c:barChart>
      <c:catAx>
        <c:axId val="19469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7023"/>
        <c:crosses val="autoZero"/>
        <c:auto val="1"/>
        <c:lblAlgn val="ctr"/>
        <c:lblOffset val="100"/>
        <c:noMultiLvlLbl val="0"/>
      </c:catAx>
      <c:valAx>
        <c:axId val="19468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4!PivotTable15</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 &amp; 4'!$H$3</c:f>
              <c:strCache>
                <c:ptCount val="1"/>
                <c:pt idx="0">
                  <c:v>Average of Deaths / 100 Cases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4'!$H$4:$H$11</c:f>
              <c:numCache>
                <c:formatCode>0.00</c:formatCode>
                <c:ptCount val="7"/>
                <c:pt idx="0">
                  <c:v>2.6</c:v>
                </c:pt>
                <c:pt idx="1">
                  <c:v>2.4482758620689653</c:v>
                </c:pt>
                <c:pt idx="2">
                  <c:v>3.967741935483871</c:v>
                </c:pt>
                <c:pt idx="3">
                  <c:v>6.6</c:v>
                </c:pt>
                <c:pt idx="4">
                  <c:v>6.709677419354839</c:v>
                </c:pt>
                <c:pt idx="5">
                  <c:v>5.4333333333333336</c:v>
                </c:pt>
                <c:pt idx="6">
                  <c:v>4.333333333333333</c:v>
                </c:pt>
              </c:numCache>
            </c:numRef>
          </c:val>
          <c:smooth val="0"/>
          <c:extLst>
            <c:ext xmlns:c16="http://schemas.microsoft.com/office/drawing/2014/chart" uri="{C3380CC4-5D6E-409C-BE32-E72D297353CC}">
              <c16:uniqueId val="{00000000-E4C6-4848-99A9-3D5308C802EC}"/>
            </c:ext>
          </c:extLst>
        </c:ser>
        <c:ser>
          <c:idx val="1"/>
          <c:order val="1"/>
          <c:tx>
            <c:strRef>
              <c:f>'Pivot Table 3 &amp; 4'!$I$3</c:f>
              <c:strCache>
                <c:ptCount val="1"/>
                <c:pt idx="0">
                  <c:v>Sum of Recovered / 100 Cases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4'!$I$4:$I$11</c:f>
              <c:numCache>
                <c:formatCode>0.00</c:formatCode>
                <c:ptCount val="7"/>
                <c:pt idx="0">
                  <c:v>29</c:v>
                </c:pt>
                <c:pt idx="1">
                  <c:v>502</c:v>
                </c:pt>
                <c:pt idx="2">
                  <c:v>1197</c:v>
                </c:pt>
                <c:pt idx="3">
                  <c:v>722</c:v>
                </c:pt>
                <c:pt idx="4">
                  <c:v>1112</c:v>
                </c:pt>
                <c:pt idx="5">
                  <c:v>1412</c:v>
                </c:pt>
                <c:pt idx="6">
                  <c:v>1478</c:v>
                </c:pt>
              </c:numCache>
            </c:numRef>
          </c:val>
          <c:smooth val="0"/>
          <c:extLst>
            <c:ext xmlns:c16="http://schemas.microsoft.com/office/drawing/2014/chart" uri="{C3380CC4-5D6E-409C-BE32-E72D297353CC}">
              <c16:uniqueId val="{00000001-E4C6-4848-99A9-3D5308C802EC}"/>
            </c:ext>
          </c:extLst>
        </c:ser>
        <c:ser>
          <c:idx val="2"/>
          <c:order val="2"/>
          <c:tx>
            <c:strRef>
              <c:f>'Pivot Table 3 &amp; 4'!$J$3</c:f>
              <c:strCache>
                <c:ptCount val="1"/>
                <c:pt idx="0">
                  <c:v>Sum of Deaths / 100 Recovered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 3 &amp; 4'!$G$4:$G$11</c:f>
              <c:strCache>
                <c:ptCount val="7"/>
                <c:pt idx="0">
                  <c:v>Jan</c:v>
                </c:pt>
                <c:pt idx="1">
                  <c:v>Feb</c:v>
                </c:pt>
                <c:pt idx="2">
                  <c:v>Mar</c:v>
                </c:pt>
                <c:pt idx="3">
                  <c:v>Apr</c:v>
                </c:pt>
                <c:pt idx="4">
                  <c:v>May</c:v>
                </c:pt>
                <c:pt idx="5">
                  <c:v>Jun</c:v>
                </c:pt>
                <c:pt idx="6">
                  <c:v>Jul</c:v>
                </c:pt>
              </c:strCache>
            </c:strRef>
          </c:cat>
          <c:val>
            <c:numRef>
              <c:f>'Pivot Table 3 &amp; 4'!$J$4:$J$11</c:f>
              <c:numCache>
                <c:formatCode>0.00</c:formatCode>
                <c:ptCount val="7"/>
                <c:pt idx="0">
                  <c:v>989</c:v>
                </c:pt>
                <c:pt idx="1">
                  <c:v>804</c:v>
                </c:pt>
                <c:pt idx="2">
                  <c:v>386</c:v>
                </c:pt>
                <c:pt idx="3">
                  <c:v>827</c:v>
                </c:pt>
                <c:pt idx="4">
                  <c:v>587</c:v>
                </c:pt>
                <c:pt idx="5">
                  <c:v>349</c:v>
                </c:pt>
                <c:pt idx="6">
                  <c:v>216</c:v>
                </c:pt>
              </c:numCache>
            </c:numRef>
          </c:val>
          <c:smooth val="0"/>
          <c:extLst>
            <c:ext xmlns:c16="http://schemas.microsoft.com/office/drawing/2014/chart" uri="{C3380CC4-5D6E-409C-BE32-E72D297353CC}">
              <c16:uniqueId val="{00000002-E4C6-4848-99A9-3D5308C802EC}"/>
            </c:ext>
          </c:extLst>
        </c:ser>
        <c:dLbls>
          <c:showLegendKey val="0"/>
          <c:showVal val="0"/>
          <c:showCatName val="0"/>
          <c:showSerName val="0"/>
          <c:showPercent val="0"/>
          <c:showBubbleSize val="0"/>
        </c:dLbls>
        <c:marker val="1"/>
        <c:smooth val="0"/>
        <c:axId val="191146703"/>
        <c:axId val="191143343"/>
      </c:lineChart>
      <c:catAx>
        <c:axId val="19114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3343"/>
        <c:crosses val="autoZero"/>
        <c:auto val="1"/>
        <c:lblAlgn val="ctr"/>
        <c:lblOffset val="100"/>
        <c:noMultiLvlLbl val="0"/>
      </c:catAx>
      <c:valAx>
        <c:axId val="191143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1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4!PivotTable13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 &amp; 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3 &amp; 4'!$A$4:$A$5</c:f>
              <c:strCache>
                <c:ptCount val="1"/>
                <c:pt idx="0">
                  <c:v>Jan</c:v>
                </c:pt>
              </c:strCache>
            </c:strRef>
          </c:cat>
          <c:val>
            <c:numRef>
              <c:f>'Pivot Table 3 &amp; 4'!$B$4:$B$5</c:f>
              <c:numCache>
                <c:formatCode>General</c:formatCode>
                <c:ptCount val="1"/>
                <c:pt idx="0">
                  <c:v>24</c:v>
                </c:pt>
              </c:numCache>
            </c:numRef>
          </c:val>
          <c:smooth val="0"/>
          <c:extLst>
            <c:ext xmlns:c16="http://schemas.microsoft.com/office/drawing/2014/chart" uri="{C3380CC4-5D6E-409C-BE32-E72D297353CC}">
              <c16:uniqueId val="{00000000-35E0-40C5-9159-4A80C3B6A22C}"/>
            </c:ext>
          </c:extLst>
        </c:ser>
        <c:dLbls>
          <c:showLegendKey val="0"/>
          <c:showVal val="0"/>
          <c:showCatName val="0"/>
          <c:showSerName val="0"/>
          <c:showPercent val="0"/>
          <c:showBubbleSize val="0"/>
        </c:dLbls>
        <c:marker val="1"/>
        <c:smooth val="0"/>
        <c:axId val="188969327"/>
        <c:axId val="188953007"/>
      </c:lineChart>
      <c:catAx>
        <c:axId val="1889693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53007"/>
        <c:crosses val="autoZero"/>
        <c:auto val="1"/>
        <c:lblAlgn val="ctr"/>
        <c:lblOffset val="100"/>
        <c:noMultiLvlLbl val="0"/>
      </c:catAx>
      <c:valAx>
        <c:axId val="18895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6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&amp; 4!PivotTable3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 &amp; 4'!$J$30</c:f>
              <c:strCache>
                <c:ptCount val="1"/>
                <c:pt idx="0">
                  <c:v>Recovery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&amp; 4'!$I$31:$I$38</c:f>
              <c:strCache>
                <c:ptCount val="7"/>
                <c:pt idx="0">
                  <c:v>Jan</c:v>
                </c:pt>
                <c:pt idx="1">
                  <c:v>Feb</c:v>
                </c:pt>
                <c:pt idx="2">
                  <c:v>Mar</c:v>
                </c:pt>
                <c:pt idx="3">
                  <c:v>Apr</c:v>
                </c:pt>
                <c:pt idx="4">
                  <c:v>May</c:v>
                </c:pt>
                <c:pt idx="5">
                  <c:v>Jun</c:v>
                </c:pt>
                <c:pt idx="6">
                  <c:v>Jul</c:v>
                </c:pt>
              </c:strCache>
            </c:strRef>
          </c:cat>
          <c:val>
            <c:numRef>
              <c:f>'Pivot Table 3 &amp; 4'!$J$31:$J$38</c:f>
              <c:numCache>
                <c:formatCode>0.00%;\-0.00%;0.00%</c:formatCode>
                <c:ptCount val="7"/>
                <c:pt idx="0">
                  <c:v>2.1747028598121141E-2</c:v>
                </c:pt>
                <c:pt idx="1">
                  <c:v>0.21862505162503901</c:v>
                </c:pt>
                <c:pt idx="2">
                  <c:v>0.29372723975778686</c:v>
                </c:pt>
                <c:pt idx="3">
                  <c:v>0.25151604322978627</c:v>
                </c:pt>
                <c:pt idx="4">
                  <c:v>0.36469199591622614</c:v>
                </c:pt>
                <c:pt idx="5">
                  <c:v>0.47453156695530596</c:v>
                </c:pt>
                <c:pt idx="6">
                  <c:v>0.55000415436001349</c:v>
                </c:pt>
              </c:numCache>
            </c:numRef>
          </c:val>
          <c:extLst>
            <c:ext xmlns:c16="http://schemas.microsoft.com/office/drawing/2014/chart" uri="{C3380CC4-5D6E-409C-BE32-E72D297353CC}">
              <c16:uniqueId val="{00000000-F149-4DF1-9DB1-C133E5586A97}"/>
            </c:ext>
          </c:extLst>
        </c:ser>
        <c:ser>
          <c:idx val="1"/>
          <c:order val="1"/>
          <c:tx>
            <c:strRef>
              <c:f>'Pivot Table 3 &amp; 4'!$K$30</c:f>
              <c:strCache>
                <c:ptCount val="1"/>
                <c:pt idx="0">
                  <c:v>Mortality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&amp; 4'!$I$31:$I$38</c:f>
              <c:strCache>
                <c:ptCount val="7"/>
                <c:pt idx="0">
                  <c:v>Jan</c:v>
                </c:pt>
                <c:pt idx="1">
                  <c:v>Feb</c:v>
                </c:pt>
                <c:pt idx="2">
                  <c:v>Mar</c:v>
                </c:pt>
                <c:pt idx="3">
                  <c:v>Apr</c:v>
                </c:pt>
                <c:pt idx="4">
                  <c:v>May</c:v>
                </c:pt>
                <c:pt idx="5">
                  <c:v>Jun</c:v>
                </c:pt>
                <c:pt idx="6">
                  <c:v>Jul</c:v>
                </c:pt>
              </c:strCache>
            </c:strRef>
          </c:cat>
          <c:val>
            <c:numRef>
              <c:f>'Pivot Table 3 &amp; 4'!$K$31:$K$38</c:f>
              <c:numCache>
                <c:formatCode>0.00%;\-0.00%;0.00%</c:formatCode>
                <c:ptCount val="7"/>
                <c:pt idx="0">
                  <c:v>2.3070535111849276E-2</c:v>
                </c:pt>
                <c:pt idx="1">
                  <c:v>2.8179606441362071E-2</c:v>
                </c:pt>
                <c:pt idx="2">
                  <c:v>4.4164075347544074E-2</c:v>
                </c:pt>
                <c:pt idx="3">
                  <c:v>6.8009164990815357E-2</c:v>
                </c:pt>
                <c:pt idx="4">
                  <c:v>6.6277519520447692E-2</c:v>
                </c:pt>
                <c:pt idx="5">
                  <c:v>5.3986453757878076E-2</c:v>
                </c:pt>
                <c:pt idx="6">
                  <c:v>4.3289740256273197E-2</c:v>
                </c:pt>
              </c:numCache>
            </c:numRef>
          </c:val>
          <c:extLst>
            <c:ext xmlns:c16="http://schemas.microsoft.com/office/drawing/2014/chart" uri="{C3380CC4-5D6E-409C-BE32-E72D297353CC}">
              <c16:uniqueId val="{00000001-F149-4DF1-9DB1-C133E5586A97}"/>
            </c:ext>
          </c:extLst>
        </c:ser>
        <c:dLbls>
          <c:showLegendKey val="0"/>
          <c:showVal val="0"/>
          <c:showCatName val="0"/>
          <c:showSerName val="0"/>
          <c:showPercent val="0"/>
          <c:showBubbleSize val="0"/>
        </c:dLbls>
        <c:gapWidth val="100"/>
        <c:overlap val="-24"/>
        <c:axId val="1068783679"/>
        <c:axId val="1068781759"/>
      </c:barChart>
      <c:catAx>
        <c:axId val="1068783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8781759"/>
        <c:crosses val="autoZero"/>
        <c:auto val="1"/>
        <c:lblAlgn val="ctr"/>
        <c:lblOffset val="100"/>
        <c:noMultiLvlLbl val="0"/>
      </c:catAx>
      <c:valAx>
        <c:axId val="106878175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878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3 - 4!PivotTable3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1" i="0" u="none" strike="noStrike" baseline="0"/>
              <a:t>Countries Affected Over Time</a:t>
            </a:r>
            <a:endParaRPr lang="en-US" sz="1200"/>
          </a:p>
        </c:rich>
      </c:tx>
      <c:layout>
        <c:manualLayout>
          <c:xMode val="edge"/>
          <c:yMode val="edge"/>
          <c:x val="0.24766702657151138"/>
          <c:y val="4.51216476476214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3 - 4'!$B$1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3 - 4'!$A$2:$A$9</c:f>
              <c:strCache>
                <c:ptCount val="7"/>
                <c:pt idx="0">
                  <c:v>Jan</c:v>
                </c:pt>
                <c:pt idx="1">
                  <c:v>Feb</c:v>
                </c:pt>
                <c:pt idx="2">
                  <c:v>Mar</c:v>
                </c:pt>
                <c:pt idx="3">
                  <c:v>Apr</c:v>
                </c:pt>
                <c:pt idx="4">
                  <c:v>May</c:v>
                </c:pt>
                <c:pt idx="5">
                  <c:v>Jun</c:v>
                </c:pt>
                <c:pt idx="6">
                  <c:v>Jul</c:v>
                </c:pt>
              </c:strCache>
            </c:strRef>
          </c:cat>
          <c:val>
            <c:numRef>
              <c:f>'Pivot Table 3 - 4'!$B$2:$B$9</c:f>
              <c:numCache>
                <c:formatCode>General</c:formatCode>
                <c:ptCount val="7"/>
                <c:pt idx="0">
                  <c:v>24</c:v>
                </c:pt>
                <c:pt idx="1">
                  <c:v>61</c:v>
                </c:pt>
                <c:pt idx="2">
                  <c:v>179</c:v>
                </c:pt>
                <c:pt idx="3">
                  <c:v>186</c:v>
                </c:pt>
                <c:pt idx="4">
                  <c:v>187</c:v>
                </c:pt>
                <c:pt idx="5">
                  <c:v>187</c:v>
                </c:pt>
                <c:pt idx="6">
                  <c:v>187</c:v>
                </c:pt>
              </c:numCache>
            </c:numRef>
          </c:val>
          <c:smooth val="0"/>
          <c:extLst>
            <c:ext xmlns:c16="http://schemas.microsoft.com/office/drawing/2014/chart" uri="{C3380CC4-5D6E-409C-BE32-E72D297353CC}">
              <c16:uniqueId val="{00000000-EF8E-418F-88EF-64E236E121A6}"/>
            </c:ext>
          </c:extLst>
        </c:ser>
        <c:dLbls>
          <c:showLegendKey val="0"/>
          <c:showVal val="0"/>
          <c:showCatName val="0"/>
          <c:showSerName val="0"/>
          <c:showPercent val="0"/>
          <c:showBubbleSize val="0"/>
        </c:dLbls>
        <c:marker val="1"/>
        <c:smooth val="0"/>
        <c:axId val="1831941856"/>
        <c:axId val="1831940896"/>
      </c:lineChart>
      <c:catAx>
        <c:axId val="1831941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0896"/>
        <c:crosses val="autoZero"/>
        <c:auto val="1"/>
        <c:lblAlgn val="ctr"/>
        <c:lblOffset val="100"/>
        <c:noMultiLvlLbl val="0"/>
      </c:catAx>
      <c:valAx>
        <c:axId val="183194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3 - 4!PivotTable4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3461590497065"/>
          <c:y val="5.9139784946236562E-2"/>
          <c:w val="0.6699448007143437"/>
          <c:h val="0.81656845313690629"/>
        </c:manualLayout>
      </c:layout>
      <c:barChart>
        <c:barDir val="col"/>
        <c:grouping val="clustered"/>
        <c:varyColors val="0"/>
        <c:ser>
          <c:idx val="0"/>
          <c:order val="0"/>
          <c:tx>
            <c:strRef>
              <c:f>'Pivot Table 3 - 4'!$G$1</c:f>
              <c:strCache>
                <c:ptCount val="1"/>
                <c:pt idx="0">
                  <c:v>Recovery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3 - 4'!$F$2:$F$9</c:f>
              <c:strCache>
                <c:ptCount val="7"/>
                <c:pt idx="0">
                  <c:v>Jan</c:v>
                </c:pt>
                <c:pt idx="1">
                  <c:v>Feb</c:v>
                </c:pt>
                <c:pt idx="2">
                  <c:v>Mar</c:v>
                </c:pt>
                <c:pt idx="3">
                  <c:v>Apr</c:v>
                </c:pt>
                <c:pt idx="4">
                  <c:v>May</c:v>
                </c:pt>
                <c:pt idx="5">
                  <c:v>Jun</c:v>
                </c:pt>
                <c:pt idx="6">
                  <c:v>Jul</c:v>
                </c:pt>
              </c:strCache>
            </c:strRef>
          </c:cat>
          <c:val>
            <c:numRef>
              <c:f>'Pivot Table 3 - 4'!$G$2:$G$9</c:f>
              <c:numCache>
                <c:formatCode>0.00%;\-0.00%;0.00%</c:formatCode>
                <c:ptCount val="7"/>
                <c:pt idx="0">
                  <c:v>2.1747028598121141E-2</c:v>
                </c:pt>
                <c:pt idx="1">
                  <c:v>0.21862505162503901</c:v>
                </c:pt>
                <c:pt idx="2">
                  <c:v>0.29372723975778686</c:v>
                </c:pt>
                <c:pt idx="3">
                  <c:v>0.25151604322978627</c:v>
                </c:pt>
                <c:pt idx="4">
                  <c:v>0.36469199591622614</c:v>
                </c:pt>
                <c:pt idx="5">
                  <c:v>0.47453156695530596</c:v>
                </c:pt>
                <c:pt idx="6">
                  <c:v>0.55000415436001349</c:v>
                </c:pt>
              </c:numCache>
            </c:numRef>
          </c:val>
          <c:extLst>
            <c:ext xmlns:c16="http://schemas.microsoft.com/office/drawing/2014/chart" uri="{C3380CC4-5D6E-409C-BE32-E72D297353CC}">
              <c16:uniqueId val="{00000000-9313-4EC6-AB90-302D4212BFA7}"/>
            </c:ext>
          </c:extLst>
        </c:ser>
        <c:ser>
          <c:idx val="1"/>
          <c:order val="1"/>
          <c:tx>
            <c:strRef>
              <c:f>'Pivot Table 3 - 4'!$H$1</c:f>
              <c:strCache>
                <c:ptCount val="1"/>
                <c:pt idx="0">
                  <c:v>Mortality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3 - 4'!$F$2:$F$9</c:f>
              <c:strCache>
                <c:ptCount val="7"/>
                <c:pt idx="0">
                  <c:v>Jan</c:v>
                </c:pt>
                <c:pt idx="1">
                  <c:v>Feb</c:v>
                </c:pt>
                <c:pt idx="2">
                  <c:v>Mar</c:v>
                </c:pt>
                <c:pt idx="3">
                  <c:v>Apr</c:v>
                </c:pt>
                <c:pt idx="4">
                  <c:v>May</c:v>
                </c:pt>
                <c:pt idx="5">
                  <c:v>Jun</c:v>
                </c:pt>
                <c:pt idx="6">
                  <c:v>Jul</c:v>
                </c:pt>
              </c:strCache>
            </c:strRef>
          </c:cat>
          <c:val>
            <c:numRef>
              <c:f>'Pivot Table 3 - 4'!$H$2:$H$9</c:f>
              <c:numCache>
                <c:formatCode>0.00%;\-0.00%;0.00%</c:formatCode>
                <c:ptCount val="7"/>
                <c:pt idx="0">
                  <c:v>2.3070535111849276E-2</c:v>
                </c:pt>
                <c:pt idx="1">
                  <c:v>2.8179606441362071E-2</c:v>
                </c:pt>
                <c:pt idx="2">
                  <c:v>4.4164075347544074E-2</c:v>
                </c:pt>
                <c:pt idx="3">
                  <c:v>6.8009164990815357E-2</c:v>
                </c:pt>
                <c:pt idx="4">
                  <c:v>6.6277519520447692E-2</c:v>
                </c:pt>
                <c:pt idx="5">
                  <c:v>5.3986453757878076E-2</c:v>
                </c:pt>
                <c:pt idx="6">
                  <c:v>4.3289740256273197E-2</c:v>
                </c:pt>
              </c:numCache>
            </c:numRef>
          </c:val>
          <c:extLst>
            <c:ext xmlns:c16="http://schemas.microsoft.com/office/drawing/2014/chart" uri="{C3380CC4-5D6E-409C-BE32-E72D297353CC}">
              <c16:uniqueId val="{00000001-9313-4EC6-AB90-302D4212BFA7}"/>
            </c:ext>
          </c:extLst>
        </c:ser>
        <c:dLbls>
          <c:showLegendKey val="0"/>
          <c:showVal val="0"/>
          <c:showCatName val="0"/>
          <c:showSerName val="0"/>
          <c:showPercent val="0"/>
          <c:showBubbleSize val="0"/>
        </c:dLbls>
        <c:gapWidth val="100"/>
        <c:overlap val="-24"/>
        <c:axId val="1831932736"/>
        <c:axId val="1831938496"/>
      </c:barChart>
      <c:catAx>
        <c:axId val="183193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8496"/>
        <c:crosses val="autoZero"/>
        <c:auto val="1"/>
        <c:lblAlgn val="ctr"/>
        <c:lblOffset val="100"/>
        <c:noMultiLvlLbl val="0"/>
      </c:catAx>
      <c:valAx>
        <c:axId val="183193849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2736"/>
        <c:crosses val="autoZero"/>
        <c:crossBetween val="between"/>
      </c:valAx>
      <c:spPr>
        <a:noFill/>
        <a:ln>
          <a:noFill/>
        </a:ln>
        <a:effectLst/>
      </c:spPr>
    </c:plotArea>
    <c:legend>
      <c:legendPos val="r"/>
      <c:layout>
        <c:manualLayout>
          <c:xMode val="edge"/>
          <c:yMode val="edge"/>
          <c:x val="0.82007577612536564"/>
          <c:y val="0.22110151553636445"/>
          <c:w val="0.16028428934108274"/>
          <c:h val="0.611560409787486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Active Case Trend ( Hospital &amp; Healthcare Pressure)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5 &amp; 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 5 &amp; 6'!$A$4:$A$5</c:f>
              <c:strCache>
                <c:ptCount val="1"/>
                <c:pt idx="0">
                  <c:v>Jan</c:v>
                </c:pt>
              </c:strCache>
            </c:strRef>
          </c:cat>
          <c:val>
            <c:numRef>
              <c:f>'Pivot Tables 5 &amp; 6'!$B$4:$B$5</c:f>
              <c:numCache>
                <c:formatCode>General</c:formatCode>
                <c:ptCount val="1"/>
                <c:pt idx="0">
                  <c:v>9495</c:v>
                </c:pt>
              </c:numCache>
            </c:numRef>
          </c:val>
          <c:smooth val="0"/>
          <c:extLst>
            <c:ext xmlns:c16="http://schemas.microsoft.com/office/drawing/2014/chart" uri="{C3380CC4-5D6E-409C-BE32-E72D297353CC}">
              <c16:uniqueId val="{00000000-8229-408E-8D3B-02330FCE0BA3}"/>
            </c:ext>
          </c:extLst>
        </c:ser>
        <c:dLbls>
          <c:showLegendKey val="0"/>
          <c:showVal val="0"/>
          <c:showCatName val="0"/>
          <c:showSerName val="0"/>
          <c:showPercent val="0"/>
          <c:showBubbleSize val="0"/>
        </c:dLbls>
        <c:marker val="1"/>
        <c:smooth val="0"/>
        <c:axId val="1428994463"/>
        <c:axId val="1428991583"/>
      </c:lineChart>
      <c:catAx>
        <c:axId val="1428994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1583"/>
        <c:crosses val="autoZero"/>
        <c:auto val="1"/>
        <c:lblAlgn val="ctr"/>
        <c:lblOffset val="100"/>
        <c:noMultiLvlLbl val="0"/>
      </c:catAx>
      <c:valAx>
        <c:axId val="14289915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Number of Cases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899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Tables 5 &amp; 6!PivotTable18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Growth Rate Comparison </a:t>
            </a:r>
          </a:p>
        </c:rich>
      </c:tx>
      <c:layout>
        <c:manualLayout>
          <c:xMode val="edge"/>
          <c:yMode val="edge"/>
          <c:x val="0.45177777777777767"/>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5 &amp; 6'!$I$15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 5 &amp; 6'!$H$16:$H$23</c:f>
              <c:strCache>
                <c:ptCount val="7"/>
                <c:pt idx="0">
                  <c:v>Jan</c:v>
                </c:pt>
                <c:pt idx="1">
                  <c:v>Feb</c:v>
                </c:pt>
                <c:pt idx="2">
                  <c:v>Mar</c:v>
                </c:pt>
                <c:pt idx="3">
                  <c:v>Apr</c:v>
                </c:pt>
                <c:pt idx="4">
                  <c:v>May</c:v>
                </c:pt>
                <c:pt idx="5">
                  <c:v>Jun</c:v>
                </c:pt>
                <c:pt idx="6">
                  <c:v>Jul</c:v>
                </c:pt>
              </c:strCache>
            </c:strRef>
          </c:cat>
          <c:val>
            <c:numRef>
              <c:f>'Pivot Tables 5 &amp; 6'!$I$16:$I$23</c:f>
              <c:numCache>
                <c:formatCode>0.00</c:formatCode>
                <c:ptCount val="7"/>
                <c:pt idx="0">
                  <c:v>23.918231453611959</c:v>
                </c:pt>
                <c:pt idx="1">
                  <c:v>6.8459917324992627</c:v>
                </c:pt>
                <c:pt idx="2">
                  <c:v>7.1686670561938772</c:v>
                </c:pt>
                <c:pt idx="3">
                  <c:v>4.3142687661829902</c:v>
                </c:pt>
                <c:pt idx="4">
                  <c:v>2.039442716486433</c:v>
                </c:pt>
                <c:pt idx="5">
                  <c:v>1.7332379643953331</c:v>
                </c:pt>
                <c:pt idx="6">
                  <c:v>1.6731232316176303</c:v>
                </c:pt>
              </c:numCache>
            </c:numRef>
          </c:val>
          <c:smooth val="0"/>
          <c:extLst>
            <c:ext xmlns:c16="http://schemas.microsoft.com/office/drawing/2014/chart" uri="{C3380CC4-5D6E-409C-BE32-E72D297353CC}">
              <c16:uniqueId val="{00000000-93B0-45FF-BB46-BD3D8B2B983E}"/>
            </c:ext>
          </c:extLst>
        </c:ser>
        <c:dLbls>
          <c:showLegendKey val="0"/>
          <c:showVal val="0"/>
          <c:showCatName val="0"/>
          <c:showSerName val="0"/>
          <c:showPercent val="0"/>
          <c:showBubbleSize val="0"/>
        </c:dLbls>
        <c:marker val="1"/>
        <c:smooth val="0"/>
        <c:axId val="1174841759"/>
        <c:axId val="1174835519"/>
      </c:lineChart>
      <c:catAx>
        <c:axId val="117484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35519"/>
        <c:crosses val="autoZero"/>
        <c:auto val="1"/>
        <c:lblAlgn val="ctr"/>
        <c:lblOffset val="100"/>
        <c:noMultiLvlLbl val="0"/>
      </c:catAx>
      <c:valAx>
        <c:axId val="11748355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Daily Growth %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8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5 - 6!PivotTable5</c:name>
    <c:fmtId val="0"/>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Active</a:t>
            </a:r>
            <a:r>
              <a:rPr lang="en-US" sz="1200" baseline="0"/>
              <a:t> Case Trend (Hospital and Healthcare Pressure)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5 - 6'!$B$2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5 - 6'!$A$3:$A$10</c:f>
              <c:strCache>
                <c:ptCount val="7"/>
                <c:pt idx="0">
                  <c:v>Jan</c:v>
                </c:pt>
                <c:pt idx="1">
                  <c:v>Feb</c:v>
                </c:pt>
                <c:pt idx="2">
                  <c:v>Mar</c:v>
                </c:pt>
                <c:pt idx="3">
                  <c:v>Apr</c:v>
                </c:pt>
                <c:pt idx="4">
                  <c:v>May</c:v>
                </c:pt>
                <c:pt idx="5">
                  <c:v>Jun</c:v>
                </c:pt>
                <c:pt idx="6">
                  <c:v>Jul</c:v>
                </c:pt>
              </c:strCache>
            </c:strRef>
          </c:cat>
          <c:val>
            <c:numRef>
              <c:f>'Pivot Table 5 - 6'!$B$3:$B$10</c:f>
              <c:numCache>
                <c:formatCode>General</c:formatCode>
                <c:ptCount val="7"/>
                <c:pt idx="0">
                  <c:v>9495</c:v>
                </c:pt>
                <c:pt idx="1">
                  <c:v>58996</c:v>
                </c:pt>
                <c:pt idx="2">
                  <c:v>652803</c:v>
                </c:pt>
                <c:pt idx="3">
                  <c:v>2044556</c:v>
                </c:pt>
                <c:pt idx="4">
                  <c:v>3226335</c:v>
                </c:pt>
                <c:pt idx="5">
                  <c:v>4657028</c:v>
                </c:pt>
                <c:pt idx="6">
                  <c:v>6358362</c:v>
                </c:pt>
              </c:numCache>
            </c:numRef>
          </c:val>
          <c:smooth val="0"/>
          <c:extLst>
            <c:ext xmlns:c16="http://schemas.microsoft.com/office/drawing/2014/chart" uri="{C3380CC4-5D6E-409C-BE32-E72D297353CC}">
              <c16:uniqueId val="{00000000-E88B-4854-AFBB-012158E8C4A0}"/>
            </c:ext>
          </c:extLst>
        </c:ser>
        <c:dLbls>
          <c:showLegendKey val="0"/>
          <c:showVal val="0"/>
          <c:showCatName val="0"/>
          <c:showSerName val="0"/>
          <c:showPercent val="0"/>
          <c:showBubbleSize val="0"/>
        </c:dLbls>
        <c:marker val="1"/>
        <c:smooth val="0"/>
        <c:axId val="986025424"/>
        <c:axId val="986046064"/>
      </c:lineChart>
      <c:catAx>
        <c:axId val="986025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46064"/>
        <c:crosses val="autoZero"/>
        <c:auto val="1"/>
        <c:lblAlgn val="ctr"/>
        <c:lblOffset val="100"/>
        <c:noMultiLvlLbl val="0"/>
      </c:catAx>
      <c:valAx>
        <c:axId val="98604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25424"/>
        <c:crosses val="autoZero"/>
        <c:crossBetween val="between"/>
        <c:dispUnits>
          <c:builtInUnit val="millions"/>
          <c:dispUnitsLbl>
            <c:layout>
              <c:manualLayout>
                <c:xMode val="edge"/>
                <c:yMode val="edge"/>
                <c:x val="2.2222222222222223E-2"/>
                <c:y val="0.42377333041703119"/>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[day_wise.xlsx]Pivot Table 5 - 6!PivotTable6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 Of Daily Growth</a:t>
            </a:r>
          </a:p>
        </c:rich>
      </c:tx>
      <c:layout>
        <c:manualLayout>
          <c:xMode val="edge"/>
          <c:yMode val="edge"/>
          <c:x val="0.3953541119860016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5 - 6'!$G$3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5 - 6'!$F$4:$F$11</c:f>
              <c:strCache>
                <c:ptCount val="7"/>
                <c:pt idx="0">
                  <c:v>Jan</c:v>
                </c:pt>
                <c:pt idx="1">
                  <c:v>Feb</c:v>
                </c:pt>
                <c:pt idx="2">
                  <c:v>Mar</c:v>
                </c:pt>
                <c:pt idx="3">
                  <c:v>Apr</c:v>
                </c:pt>
                <c:pt idx="4">
                  <c:v>May</c:v>
                </c:pt>
                <c:pt idx="5">
                  <c:v>Jun</c:v>
                </c:pt>
                <c:pt idx="6">
                  <c:v>Jul</c:v>
                </c:pt>
              </c:strCache>
            </c:strRef>
          </c:cat>
          <c:val>
            <c:numRef>
              <c:f>'Pivot Table 5 - 6'!$G$4:$G$11</c:f>
              <c:numCache>
                <c:formatCode>0.00</c:formatCode>
                <c:ptCount val="7"/>
                <c:pt idx="0">
                  <c:v>23.918231453611959</c:v>
                </c:pt>
                <c:pt idx="1">
                  <c:v>6.8459917324992627</c:v>
                </c:pt>
                <c:pt idx="2">
                  <c:v>7.1686670561938772</c:v>
                </c:pt>
                <c:pt idx="3">
                  <c:v>4.3142687661829902</c:v>
                </c:pt>
                <c:pt idx="4">
                  <c:v>2.039442716486433</c:v>
                </c:pt>
                <c:pt idx="5">
                  <c:v>1.7332379643953331</c:v>
                </c:pt>
                <c:pt idx="6">
                  <c:v>1.6731232316176303</c:v>
                </c:pt>
              </c:numCache>
            </c:numRef>
          </c:val>
          <c:smooth val="0"/>
          <c:extLst>
            <c:ext xmlns:c16="http://schemas.microsoft.com/office/drawing/2014/chart" uri="{C3380CC4-5D6E-409C-BE32-E72D297353CC}">
              <c16:uniqueId val="{00000000-2437-402B-B1D7-32E7B9195FE4}"/>
            </c:ext>
          </c:extLst>
        </c:ser>
        <c:dLbls>
          <c:showLegendKey val="0"/>
          <c:showVal val="0"/>
          <c:showCatName val="0"/>
          <c:showSerName val="0"/>
          <c:showPercent val="0"/>
          <c:showBubbleSize val="0"/>
        </c:dLbls>
        <c:marker val="1"/>
        <c:smooth val="0"/>
        <c:axId val="1854705280"/>
        <c:axId val="1854689440"/>
      </c:lineChart>
      <c:catAx>
        <c:axId val="18547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89440"/>
        <c:crosses val="autoZero"/>
        <c:auto val="1"/>
        <c:lblAlgn val="ctr"/>
        <c:lblOffset val="100"/>
        <c:noMultiLvlLbl val="0"/>
      </c:catAx>
      <c:valAx>
        <c:axId val="18546894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0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'Forecast Sheet '!$B$2:$B$224</c:f>
              <c:numCache>
                <c:formatCode>General</c:formatCode>
                <c:ptCount val="223"/>
                <c:pt idx="0">
                  <c:v>555</c:v>
                </c:pt>
                <c:pt idx="1">
                  <c:v>654</c:v>
                </c:pt>
                <c:pt idx="2">
                  <c:v>941</c:v>
                </c:pt>
                <c:pt idx="3">
                  <c:v>1434</c:v>
                </c:pt>
                <c:pt idx="4">
                  <c:v>2118</c:v>
                </c:pt>
                <c:pt idx="5">
                  <c:v>2927</c:v>
                </c:pt>
                <c:pt idx="6">
                  <c:v>5578</c:v>
                </c:pt>
                <c:pt idx="7">
                  <c:v>6166</c:v>
                </c:pt>
                <c:pt idx="8">
                  <c:v>8234</c:v>
                </c:pt>
                <c:pt idx="9">
                  <c:v>9927</c:v>
                </c:pt>
                <c:pt idx="10">
                  <c:v>12038</c:v>
                </c:pt>
                <c:pt idx="11">
                  <c:v>16787</c:v>
                </c:pt>
                <c:pt idx="12">
                  <c:v>19887</c:v>
                </c:pt>
                <c:pt idx="13">
                  <c:v>23898</c:v>
                </c:pt>
                <c:pt idx="14">
                  <c:v>27643</c:v>
                </c:pt>
                <c:pt idx="15">
                  <c:v>30802</c:v>
                </c:pt>
                <c:pt idx="16">
                  <c:v>34334</c:v>
                </c:pt>
                <c:pt idx="17">
                  <c:v>37068</c:v>
                </c:pt>
                <c:pt idx="18">
                  <c:v>40095</c:v>
                </c:pt>
                <c:pt idx="19">
                  <c:v>42633</c:v>
                </c:pt>
                <c:pt idx="20">
                  <c:v>44675</c:v>
                </c:pt>
                <c:pt idx="21">
                  <c:v>46561</c:v>
                </c:pt>
                <c:pt idx="22">
                  <c:v>60206</c:v>
                </c:pt>
                <c:pt idx="23">
                  <c:v>66690</c:v>
                </c:pt>
                <c:pt idx="24">
                  <c:v>68765</c:v>
                </c:pt>
                <c:pt idx="25">
                  <c:v>70879</c:v>
                </c:pt>
                <c:pt idx="26">
                  <c:v>72815</c:v>
                </c:pt>
                <c:pt idx="27">
                  <c:v>74609</c:v>
                </c:pt>
                <c:pt idx="28">
                  <c:v>75030</c:v>
                </c:pt>
                <c:pt idx="29">
                  <c:v>75577</c:v>
                </c:pt>
                <c:pt idx="30">
                  <c:v>76206</c:v>
                </c:pt>
                <c:pt idx="31">
                  <c:v>77967</c:v>
                </c:pt>
                <c:pt idx="32">
                  <c:v>78290</c:v>
                </c:pt>
                <c:pt idx="33">
                  <c:v>78854</c:v>
                </c:pt>
                <c:pt idx="34">
                  <c:v>79707</c:v>
                </c:pt>
                <c:pt idx="35">
                  <c:v>80670</c:v>
                </c:pt>
                <c:pt idx="36">
                  <c:v>82034</c:v>
                </c:pt>
                <c:pt idx="37">
                  <c:v>83411</c:v>
                </c:pt>
                <c:pt idx="38">
                  <c:v>85306</c:v>
                </c:pt>
                <c:pt idx="39">
                  <c:v>87690</c:v>
                </c:pt>
                <c:pt idx="40">
                  <c:v>89664</c:v>
                </c:pt>
                <c:pt idx="41">
                  <c:v>92241</c:v>
                </c:pt>
                <c:pt idx="42">
                  <c:v>94540</c:v>
                </c:pt>
                <c:pt idx="43">
                  <c:v>97331</c:v>
                </c:pt>
                <c:pt idx="44">
                  <c:v>101274</c:v>
                </c:pt>
                <c:pt idx="45">
                  <c:v>105312</c:v>
                </c:pt>
                <c:pt idx="46">
                  <c:v>109266</c:v>
                </c:pt>
                <c:pt idx="47">
                  <c:v>113166</c:v>
                </c:pt>
                <c:pt idx="48">
                  <c:v>118190</c:v>
                </c:pt>
                <c:pt idx="49">
                  <c:v>125853</c:v>
                </c:pt>
                <c:pt idx="50">
                  <c:v>131603</c:v>
                </c:pt>
                <c:pt idx="51">
                  <c:v>146008</c:v>
                </c:pt>
                <c:pt idx="52">
                  <c:v>157114</c:v>
                </c:pt>
                <c:pt idx="53">
                  <c:v>168260</c:v>
                </c:pt>
                <c:pt idx="54">
                  <c:v>182919</c:v>
                </c:pt>
                <c:pt idx="55">
                  <c:v>198757</c:v>
                </c:pt>
                <c:pt idx="56">
                  <c:v>218343</c:v>
                </c:pt>
                <c:pt idx="57">
                  <c:v>246261</c:v>
                </c:pt>
                <c:pt idx="58">
                  <c:v>275869</c:v>
                </c:pt>
                <c:pt idx="59">
                  <c:v>308175</c:v>
                </c:pt>
                <c:pt idx="60">
                  <c:v>341585</c:v>
                </c:pt>
                <c:pt idx="61">
                  <c:v>383750</c:v>
                </c:pt>
                <c:pt idx="62">
                  <c:v>424889</c:v>
                </c:pt>
                <c:pt idx="63">
                  <c:v>475706</c:v>
                </c:pt>
                <c:pt idx="64">
                  <c:v>538666</c:v>
                </c:pt>
                <c:pt idx="65">
                  <c:v>603066</c:v>
                </c:pt>
                <c:pt idx="66">
                  <c:v>670723</c:v>
                </c:pt>
                <c:pt idx="67">
                  <c:v>730300</c:v>
                </c:pt>
                <c:pt idx="68">
                  <c:v>794939</c:v>
                </c:pt>
                <c:pt idx="69">
                  <c:v>871355</c:v>
                </c:pt>
                <c:pt idx="70">
                  <c:v>947569</c:v>
                </c:pt>
                <c:pt idx="71">
                  <c:v>1028968</c:v>
                </c:pt>
                <c:pt idx="72">
                  <c:v>1112123</c:v>
                </c:pt>
                <c:pt idx="73">
                  <c:v>1192586</c:v>
                </c:pt>
                <c:pt idx="74">
                  <c:v>1264304</c:v>
                </c:pt>
                <c:pt idx="75">
                  <c:v>1336976</c:v>
                </c:pt>
                <c:pt idx="76">
                  <c:v>1413849</c:v>
                </c:pt>
                <c:pt idx="77">
                  <c:v>1497624</c:v>
                </c:pt>
                <c:pt idx="78">
                  <c:v>1584249</c:v>
                </c:pt>
                <c:pt idx="79">
                  <c:v>1671907</c:v>
                </c:pt>
                <c:pt idx="80">
                  <c:v>1748872</c:v>
                </c:pt>
                <c:pt idx="81">
                  <c:v>1845653</c:v>
                </c:pt>
                <c:pt idx="82">
                  <c:v>1915247</c:v>
                </c:pt>
                <c:pt idx="83">
                  <c:v>1985174</c:v>
                </c:pt>
                <c:pt idx="84">
                  <c:v>2066003</c:v>
                </c:pt>
                <c:pt idx="85">
                  <c:v>2162715</c:v>
                </c:pt>
                <c:pt idx="86">
                  <c:v>2250439</c:v>
                </c:pt>
                <c:pt idx="87">
                  <c:v>2324396</c:v>
                </c:pt>
                <c:pt idx="88">
                  <c:v>2404919</c:v>
                </c:pt>
                <c:pt idx="89">
                  <c:v>2478258</c:v>
                </c:pt>
                <c:pt idx="90">
                  <c:v>2553508</c:v>
                </c:pt>
                <c:pt idx="91">
                  <c:v>2630314</c:v>
                </c:pt>
                <c:pt idx="92">
                  <c:v>2719327</c:v>
                </c:pt>
                <c:pt idx="93">
                  <c:v>2806267</c:v>
                </c:pt>
                <c:pt idx="94">
                  <c:v>2891199</c:v>
                </c:pt>
                <c:pt idx="95">
                  <c:v>2964146</c:v>
                </c:pt>
                <c:pt idx="96">
                  <c:v>3032850</c:v>
                </c:pt>
                <c:pt idx="97">
                  <c:v>3108149</c:v>
                </c:pt>
                <c:pt idx="98">
                  <c:v>3185195</c:v>
                </c:pt>
                <c:pt idx="99">
                  <c:v>3268876</c:v>
                </c:pt>
                <c:pt idx="100">
                  <c:v>3355922</c:v>
                </c:pt>
                <c:pt idx="101">
                  <c:v>3437608</c:v>
                </c:pt>
                <c:pt idx="102">
                  <c:v>3515244</c:v>
                </c:pt>
                <c:pt idx="103">
                  <c:v>3591321</c:v>
                </c:pt>
                <c:pt idx="104">
                  <c:v>3671310</c:v>
                </c:pt>
                <c:pt idx="105">
                  <c:v>3761332</c:v>
                </c:pt>
                <c:pt idx="106">
                  <c:v>3850418</c:v>
                </c:pt>
                <c:pt idx="107">
                  <c:v>3941935</c:v>
                </c:pt>
                <c:pt idx="108">
                  <c:v>4027781</c:v>
                </c:pt>
                <c:pt idx="109">
                  <c:v>4104027</c:v>
                </c:pt>
                <c:pt idx="110">
                  <c:v>4180268</c:v>
                </c:pt>
                <c:pt idx="111">
                  <c:v>4263867</c:v>
                </c:pt>
                <c:pt idx="112">
                  <c:v>4348619</c:v>
                </c:pt>
                <c:pt idx="113">
                  <c:v>4445724</c:v>
                </c:pt>
                <c:pt idx="114">
                  <c:v>4542073</c:v>
                </c:pt>
                <c:pt idx="115">
                  <c:v>4637485</c:v>
                </c:pt>
                <c:pt idx="116">
                  <c:v>4715994</c:v>
                </c:pt>
                <c:pt idx="117">
                  <c:v>4804278</c:v>
                </c:pt>
                <c:pt idx="118">
                  <c:v>4900702</c:v>
                </c:pt>
                <c:pt idx="119">
                  <c:v>5003730</c:v>
                </c:pt>
                <c:pt idx="120">
                  <c:v>5110064</c:v>
                </c:pt>
                <c:pt idx="121">
                  <c:v>5216964</c:v>
                </c:pt>
                <c:pt idx="122">
                  <c:v>5322253</c:v>
                </c:pt>
                <c:pt idx="123">
                  <c:v>5417579</c:v>
                </c:pt>
                <c:pt idx="124">
                  <c:v>5504542</c:v>
                </c:pt>
                <c:pt idx="125">
                  <c:v>5597064</c:v>
                </c:pt>
                <c:pt idx="126">
                  <c:v>5699664</c:v>
                </c:pt>
                <c:pt idx="127">
                  <c:v>5818978</c:v>
                </c:pt>
                <c:pt idx="128">
                  <c:v>5940145</c:v>
                </c:pt>
                <c:pt idx="129">
                  <c:v>6077978</c:v>
                </c:pt>
                <c:pt idx="130">
                  <c:v>6185530</c:v>
                </c:pt>
                <c:pt idx="131">
                  <c:v>6280725</c:v>
                </c:pt>
                <c:pt idx="132">
                  <c:v>6401536</c:v>
                </c:pt>
                <c:pt idx="133">
                  <c:v>6520924</c:v>
                </c:pt>
                <c:pt idx="134">
                  <c:v>6647861</c:v>
                </c:pt>
                <c:pt idx="135">
                  <c:v>6778724</c:v>
                </c:pt>
                <c:pt idx="136">
                  <c:v>6914666</c:v>
                </c:pt>
                <c:pt idx="137">
                  <c:v>7026925</c:v>
                </c:pt>
                <c:pt idx="138">
                  <c:v>7129150</c:v>
                </c:pt>
                <c:pt idx="139">
                  <c:v>7253492</c:v>
                </c:pt>
                <c:pt idx="140">
                  <c:v>7387517</c:v>
                </c:pt>
                <c:pt idx="141">
                  <c:v>7525631</c:v>
                </c:pt>
                <c:pt idx="142">
                  <c:v>7654725</c:v>
                </c:pt>
                <c:pt idx="143">
                  <c:v>7790735</c:v>
                </c:pt>
                <c:pt idx="144">
                  <c:v>7924156</c:v>
                </c:pt>
                <c:pt idx="145">
                  <c:v>8043794</c:v>
                </c:pt>
                <c:pt idx="146">
                  <c:v>8185197</c:v>
                </c:pt>
                <c:pt idx="147">
                  <c:v>8327050</c:v>
                </c:pt>
                <c:pt idx="148">
                  <c:v>8466978</c:v>
                </c:pt>
                <c:pt idx="149">
                  <c:v>8647784</c:v>
                </c:pt>
                <c:pt idx="150">
                  <c:v>8805336</c:v>
                </c:pt>
                <c:pt idx="151">
                  <c:v>8933875</c:v>
                </c:pt>
                <c:pt idx="152">
                  <c:v>9071733</c:v>
                </c:pt>
                <c:pt idx="153">
                  <c:v>9237071</c:v>
                </c:pt>
                <c:pt idx="154">
                  <c:v>9408254</c:v>
                </c:pt>
                <c:pt idx="155">
                  <c:v>9586141</c:v>
                </c:pt>
                <c:pt idx="156">
                  <c:v>9777487</c:v>
                </c:pt>
                <c:pt idx="157">
                  <c:v>9955597</c:v>
                </c:pt>
                <c:pt idx="158">
                  <c:v>10117227</c:v>
                </c:pt>
                <c:pt idx="159">
                  <c:v>10275799</c:v>
                </c:pt>
                <c:pt idx="160">
                  <c:v>10449697</c:v>
                </c:pt>
                <c:pt idx="161">
                  <c:v>10667386</c:v>
                </c:pt>
                <c:pt idx="162">
                  <c:v>10875091</c:v>
                </c:pt>
                <c:pt idx="163">
                  <c:v>11078585</c:v>
                </c:pt>
                <c:pt idx="164">
                  <c:v>11272152</c:v>
                </c:pt>
                <c:pt idx="165">
                  <c:v>11454847</c:v>
                </c:pt>
                <c:pt idx="166">
                  <c:v>11622190</c:v>
                </c:pt>
                <c:pt idx="167">
                  <c:v>11833034</c:v>
                </c:pt>
                <c:pt idx="168">
                  <c:v>12044836</c:v>
                </c:pt>
                <c:pt idx="169">
                  <c:v>12273063</c:v>
                </c:pt>
                <c:pt idx="170">
                  <c:v>12505640</c:v>
                </c:pt>
                <c:pt idx="171">
                  <c:v>12721968</c:v>
                </c:pt>
                <c:pt idx="172">
                  <c:v>12914636</c:v>
                </c:pt>
                <c:pt idx="173">
                  <c:v>13107415</c:v>
                </c:pt>
                <c:pt idx="174">
                  <c:v>13328867</c:v>
                </c:pt>
                <c:pt idx="175">
                  <c:v>13559984</c:v>
                </c:pt>
                <c:pt idx="176">
                  <c:v>13812525</c:v>
                </c:pt>
                <c:pt idx="177">
                  <c:v>14054563</c:v>
                </c:pt>
                <c:pt idx="178">
                  <c:v>14292198</c:v>
                </c:pt>
                <c:pt idx="179">
                  <c:v>14506845</c:v>
                </c:pt>
                <c:pt idx="180">
                  <c:v>14713623</c:v>
                </c:pt>
                <c:pt idx="181">
                  <c:v>14947078</c:v>
                </c:pt>
                <c:pt idx="182">
                  <c:v>15227725</c:v>
                </c:pt>
                <c:pt idx="183">
                  <c:v>15510481</c:v>
                </c:pt>
                <c:pt idx="184">
                  <c:v>15791645</c:v>
                </c:pt>
                <c:pt idx="185">
                  <c:v>16047190</c:v>
                </c:pt>
                <c:pt idx="186">
                  <c:v>16251796</c:v>
                </c:pt>
                <c:pt idx="187">
                  <c:v>16480485</c:v>
                </c:pt>
              </c:numCache>
            </c:numRef>
          </c:val>
          <c:smooth val="0"/>
          <c:extLst>
            <c:ext xmlns:c15="http://schemas.microsoft.com/office/drawing/2012/chart" uri="{02D57815-91ED-43cb-92C2-25804820EDAC}">
              <c15:filteredSeriesTitle>
                <c15:tx>
                  <c:strRef>
                    <c:extLst>
                      <c:ext uri="{02D57815-91ED-43cb-92C2-25804820EDAC}">
                        <c15:formulaRef>
                          <c15:sqref>'Forecast Sheet '!$B$1</c15:sqref>
                        </c15:formulaRef>
                      </c:ext>
                    </c:extLst>
                    <c:strCache>
                      <c:ptCount val="1"/>
                      <c:pt idx="0">
                        <c:v>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0-9DD7-4713-BC66-B167AD5956A9}"/>
            </c:ext>
          </c:extLst>
        </c:ser>
        <c:ser>
          <c:idx val="1"/>
          <c:order val="1"/>
          <c:spPr>
            <a:ln w="28575" cap="rnd">
              <a:solidFill>
                <a:schemeClr val="accent2"/>
              </a:solidFill>
              <a:round/>
            </a:ln>
            <a:effectLst/>
          </c:spPr>
          <c:marker>
            <c:symbol val="none"/>
          </c:marker>
          <c:val>
            <c:numRef>
              <c:f>'Forecast Sheet '!$C$2:$C$224</c:f>
              <c:numCache>
                <c:formatCode>General</c:formatCode>
                <c:ptCount val="223"/>
                <c:pt idx="187">
                  <c:v>16480485</c:v>
                </c:pt>
                <c:pt idx="188">
                  <c:v>16707149.484485693</c:v>
                </c:pt>
                <c:pt idx="189">
                  <c:v>16933851.198887214</c:v>
                </c:pt>
                <c:pt idx="190">
                  <c:v>17160552.913288735</c:v>
                </c:pt>
                <c:pt idx="191">
                  <c:v>17387254.627690256</c:v>
                </c:pt>
                <c:pt idx="192">
                  <c:v>17613956.342091773</c:v>
                </c:pt>
                <c:pt idx="193">
                  <c:v>17840658.056493293</c:v>
                </c:pt>
                <c:pt idx="194">
                  <c:v>18067359.770894814</c:v>
                </c:pt>
                <c:pt idx="195">
                  <c:v>18294061.485296335</c:v>
                </c:pt>
                <c:pt idx="196">
                  <c:v>18520763.199697856</c:v>
                </c:pt>
                <c:pt idx="197">
                  <c:v>18747464.914099377</c:v>
                </c:pt>
                <c:pt idx="198">
                  <c:v>18974166.628500897</c:v>
                </c:pt>
                <c:pt idx="199">
                  <c:v>19200868.342902415</c:v>
                </c:pt>
                <c:pt idx="200">
                  <c:v>19427570.057303935</c:v>
                </c:pt>
                <c:pt idx="201">
                  <c:v>19654271.771705456</c:v>
                </c:pt>
                <c:pt idx="202">
                  <c:v>19880973.486106977</c:v>
                </c:pt>
                <c:pt idx="203">
                  <c:v>20107675.200508498</c:v>
                </c:pt>
                <c:pt idx="204">
                  <c:v>20334376.914910018</c:v>
                </c:pt>
                <c:pt idx="205">
                  <c:v>20561078.629311539</c:v>
                </c:pt>
                <c:pt idx="206">
                  <c:v>20787780.34371306</c:v>
                </c:pt>
                <c:pt idx="207">
                  <c:v>21014482.058114581</c:v>
                </c:pt>
                <c:pt idx="208">
                  <c:v>21241183.772516102</c:v>
                </c:pt>
                <c:pt idx="209">
                  <c:v>21467885.486917619</c:v>
                </c:pt>
                <c:pt idx="210">
                  <c:v>21694587.201319139</c:v>
                </c:pt>
                <c:pt idx="211">
                  <c:v>21921288.91572066</c:v>
                </c:pt>
                <c:pt idx="212">
                  <c:v>22147990.630122181</c:v>
                </c:pt>
                <c:pt idx="213">
                  <c:v>22374692.344523702</c:v>
                </c:pt>
                <c:pt idx="214">
                  <c:v>22601394.058925219</c:v>
                </c:pt>
                <c:pt idx="215">
                  <c:v>22828095.77332674</c:v>
                </c:pt>
                <c:pt idx="216">
                  <c:v>23054797.48772826</c:v>
                </c:pt>
                <c:pt idx="217">
                  <c:v>23281499.202129781</c:v>
                </c:pt>
                <c:pt idx="218">
                  <c:v>23508200.916531302</c:v>
                </c:pt>
                <c:pt idx="219">
                  <c:v>23734902.630932823</c:v>
                </c:pt>
                <c:pt idx="220">
                  <c:v>23961604.345334344</c:v>
                </c:pt>
                <c:pt idx="221">
                  <c:v>24188306.059735864</c:v>
                </c:pt>
                <c:pt idx="222" formatCode="0.00">
                  <c:v>24415007.774137385</c:v>
                </c:pt>
              </c:numCache>
            </c:numRef>
          </c:val>
          <c:smooth val="0"/>
          <c:extLst>
            <c:ext xmlns:c15="http://schemas.microsoft.com/office/drawing/2012/chart" uri="{02D57815-91ED-43cb-92C2-25804820EDAC}">
              <c15:filteredSeriesTitle>
                <c15:tx>
                  <c:strRef>
                    <c:extLst>
                      <c:ext uri="{02D57815-91ED-43cb-92C2-25804820EDAC}">
                        <c15:formulaRef>
                          <c15:sqref>'Forecast Sheet '!$C$1</c15:sqref>
                        </c15:formulaRef>
                      </c:ext>
                    </c:extLst>
                    <c:strCache>
                      <c:ptCount val="1"/>
                      <c:pt idx="0">
                        <c:v>Forecast(Confirmed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1-9DD7-4713-BC66-B167AD5956A9}"/>
            </c:ext>
          </c:extLst>
        </c:ser>
        <c:ser>
          <c:idx val="2"/>
          <c:order val="2"/>
          <c:spPr>
            <a:ln w="28575" cap="rnd">
              <a:solidFill>
                <a:schemeClr val="accent3"/>
              </a:solidFill>
              <a:round/>
            </a:ln>
            <a:effectLst/>
          </c:spPr>
          <c:marker>
            <c:symbol val="none"/>
          </c:marker>
          <c:val>
            <c:numRef>
              <c:f>'Forecast Sheet '!$D$2:$D$224</c:f>
              <c:numCache>
                <c:formatCode>General</c:formatCode>
                <c:ptCount val="223"/>
                <c:pt idx="187" formatCode="0.00">
                  <c:v>16480485</c:v>
                </c:pt>
                <c:pt idx="188" formatCode="0.00">
                  <c:v>16680104.356266005</c:v>
                </c:pt>
                <c:pt idx="189" formatCode="0.00">
                  <c:v>16875854.631865233</c:v>
                </c:pt>
                <c:pt idx="190" formatCode="0.00">
                  <c:v>17065254.903307766</c:v>
                </c:pt>
                <c:pt idx="191" formatCode="0.00">
                  <c:v>17249167.462758418</c:v>
                </c:pt>
                <c:pt idx="192" formatCode="0.00">
                  <c:v>17428201.222586084</c:v>
                </c:pt>
                <c:pt idx="193" formatCode="0.00">
                  <c:v>17602803.672434863</c:v>
                </c:pt>
                <c:pt idx="194" formatCode="0.00">
                  <c:v>17773319.645576622</c:v>
                </c:pt>
                <c:pt idx="195" formatCode="0.00">
                  <c:v>17940024.869019087</c:v>
                </c:pt>
                <c:pt idx="196" formatCode="0.00">
                  <c:v>18103146.152011789</c:v>
                </c:pt>
                <c:pt idx="197" formatCode="0.00">
                  <c:v>18262874.248429276</c:v>
                </c:pt>
                <c:pt idx="198" formatCode="0.00">
                  <c:v>18419372.460116588</c:v>
                </c:pt>
                <c:pt idx="199" formatCode="0.00">
                  <c:v>18572782.627436396</c:v>
                </c:pt>
                <c:pt idx="200" formatCode="0.00">
                  <c:v>18723229.441727377</c:v>
                </c:pt>
                <c:pt idx="201" formatCode="0.00">
                  <c:v>18870823.637489382</c:v>
                </c:pt>
                <c:pt idx="202" formatCode="0.00">
                  <c:v>19015664.411764976</c:v>
                </c:pt>
                <c:pt idx="203" formatCode="0.00">
                  <c:v>19157841.295267612</c:v>
                </c:pt>
                <c:pt idx="204" formatCode="0.00">
                  <c:v>19297435.625046037</c:v>
                </c:pt>
                <c:pt idx="205" formatCode="0.00">
                  <c:v>19434521.721394334</c:v>
                </c:pt>
                <c:pt idx="206" formatCode="0.00">
                  <c:v>19569167.841152363</c:v>
                </c:pt>
                <c:pt idx="207" formatCode="0.00">
                  <c:v>19701436.959160585</c:v>
                </c:pt>
                <c:pt idx="208" formatCode="0.00">
                  <c:v>19831387.415716995</c:v>
                </c:pt>
                <c:pt idx="209" formatCode="0.00">
                  <c:v>19959073.458178934</c:v>
                </c:pt>
                <c:pt idx="210" formatCode="0.00">
                  <c:v>20084545.697955597</c:v>
                </c:pt>
                <c:pt idx="211" formatCode="0.00">
                  <c:v>20207851.499150597</c:v>
                </c:pt>
                <c:pt idx="212" formatCode="0.00">
                  <c:v>20329035.311453648</c:v>
                </c:pt>
                <c:pt idx="213" formatCode="0.00">
                  <c:v>20448138.957154859</c:v>
                </c:pt>
                <c:pt idx="214" formatCode="0.00">
                  <c:v>20565201.880099691</c:v>
                </c:pt>
                <c:pt idx="215" formatCode="0.00">
                  <c:v>20680261.362834461</c:v>
                </c:pt>
                <c:pt idx="216" formatCode="0.00">
                  <c:v>20793352.716982298</c:v>
                </c:pt>
                <c:pt idx="217" formatCode="0.00">
                  <c:v>20904509.450947125</c:v>
                </c:pt>
                <c:pt idx="218" formatCode="0.00">
                  <c:v>21013763.418301973</c:v>
                </c:pt>
                <c:pt idx="219" formatCode="0.00">
                  <c:v>21121144.949630219</c:v>
                </c:pt>
                <c:pt idx="220" formatCode="0.00">
                  <c:v>21226682.970118374</c:v>
                </c:pt>
                <c:pt idx="221" formatCode="0.00">
                  <c:v>21330405.104820594</c:v>
                </c:pt>
                <c:pt idx="222" formatCode="0.00">
                  <c:v>21432337.773207996</c:v>
                </c:pt>
              </c:numCache>
            </c:numRef>
          </c:val>
          <c:smooth val="0"/>
          <c:extLst>
            <c:ext xmlns:c15="http://schemas.microsoft.com/office/drawing/2012/chart" uri="{02D57815-91ED-43cb-92C2-25804820EDAC}">
              <c15:filteredSeriesTitle>
                <c15:tx>
                  <c:strRef>
                    <c:extLst>
                      <c:ext uri="{02D57815-91ED-43cb-92C2-25804820EDAC}">
                        <c15:formulaRef>
                          <c15:sqref>'Forecast Sheet '!$D$1</c15:sqref>
                        </c15:formulaRef>
                      </c:ext>
                    </c:extLst>
                    <c:strCache>
                      <c:ptCount val="1"/>
                      <c:pt idx="0">
                        <c:v>Lower Confidence Bound(Confirmed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2-9DD7-4713-BC66-B167AD5956A9}"/>
            </c:ext>
          </c:extLst>
        </c:ser>
        <c:ser>
          <c:idx val="3"/>
          <c:order val="3"/>
          <c:spPr>
            <a:ln w="28575" cap="rnd">
              <a:solidFill>
                <a:schemeClr val="accent4"/>
              </a:solidFill>
              <a:round/>
            </a:ln>
            <a:effectLst/>
          </c:spPr>
          <c:marker>
            <c:symbol val="none"/>
          </c:marker>
          <c:val>
            <c:numRef>
              <c:f>'Forecast Sheet '!$E$2:$E$224</c:f>
              <c:numCache>
                <c:formatCode>General</c:formatCode>
                <c:ptCount val="223"/>
                <c:pt idx="187" formatCode="0.00">
                  <c:v>16480485</c:v>
                </c:pt>
                <c:pt idx="188" formatCode="0.00">
                  <c:v>16734194.612705382</c:v>
                </c:pt>
                <c:pt idx="189" formatCode="0.00">
                  <c:v>16991847.765909195</c:v>
                </c:pt>
                <c:pt idx="190" formatCode="0.00">
                  <c:v>17255850.923269704</c:v>
                </c:pt>
                <c:pt idx="191" formatCode="0.00">
                  <c:v>17525341.792622093</c:v>
                </c:pt>
                <c:pt idx="192" formatCode="0.00">
                  <c:v>17799711.461597461</c:v>
                </c:pt>
                <c:pt idx="193" formatCode="0.00">
                  <c:v>18078512.440551724</c:v>
                </c:pt>
                <c:pt idx="194" formatCode="0.00">
                  <c:v>18361399.896213006</c:v>
                </c:pt>
                <c:pt idx="195" formatCode="0.00">
                  <c:v>18648098.101573583</c:v>
                </c:pt>
                <c:pt idx="196" formatCode="0.00">
                  <c:v>18938380.247383922</c:v>
                </c:pt>
                <c:pt idx="197" formatCode="0.00">
                  <c:v>19232055.579769477</c:v>
                </c:pt>
                <c:pt idx="198" formatCode="0.00">
                  <c:v>19528960.796885207</c:v>
                </c:pt>
                <c:pt idx="199" formatCode="0.00">
                  <c:v>19828954.058368433</c:v>
                </c:pt>
                <c:pt idx="200" formatCode="0.00">
                  <c:v>20131910.672880493</c:v>
                </c:pt>
                <c:pt idx="201" formatCode="0.00">
                  <c:v>20437719.90592153</c:v>
                </c:pt>
                <c:pt idx="202" formatCode="0.00">
                  <c:v>20746282.560448978</c:v>
                </c:pt>
                <c:pt idx="203" formatCode="0.00">
                  <c:v>21057509.105749384</c:v>
                </c:pt>
                <c:pt idx="204" formatCode="0.00">
                  <c:v>21371318.204774</c:v>
                </c:pt>
                <c:pt idx="205" formatCode="0.00">
                  <c:v>21687635.537228744</c:v>
                </c:pt>
                <c:pt idx="206" formatCode="0.00">
                  <c:v>22006392.846273758</c:v>
                </c:pt>
                <c:pt idx="207" formatCode="0.00">
                  <c:v>22327527.157068577</c:v>
                </c:pt>
                <c:pt idx="208" formatCode="0.00">
                  <c:v>22650980.129315209</c:v>
                </c:pt>
                <c:pt idx="209" formatCode="0.00">
                  <c:v>22976697.515656304</c:v>
                </c:pt>
                <c:pt idx="210" formatCode="0.00">
                  <c:v>23304628.704682682</c:v>
                </c:pt>
                <c:pt idx="211" formatCode="0.00">
                  <c:v>23634726.332290724</c:v>
                </c:pt>
                <c:pt idx="212" formatCode="0.00">
                  <c:v>23966945.948790714</c:v>
                </c:pt>
                <c:pt idx="213" formatCode="0.00">
                  <c:v>24301245.731892545</c:v>
                </c:pt>
                <c:pt idx="214" formatCode="0.00">
                  <c:v>24637586.237750746</c:v>
                </c:pt>
                <c:pt idx="215" formatCode="0.00">
                  <c:v>24975930.183819018</c:v>
                </c:pt>
                <c:pt idx="216" formatCode="0.00">
                  <c:v>25316242.258474223</c:v>
                </c:pt>
                <c:pt idx="217" formatCode="0.00">
                  <c:v>25658488.953312438</c:v>
                </c:pt>
                <c:pt idx="218" formatCode="0.00">
                  <c:v>26002638.414760631</c:v>
                </c:pt>
                <c:pt idx="219" formatCode="0.00">
                  <c:v>26348660.312235426</c:v>
                </c:pt>
                <c:pt idx="220" formatCode="0.00">
                  <c:v>26696525.720550314</c:v>
                </c:pt>
                <c:pt idx="221" formatCode="0.00">
                  <c:v>27046207.014651135</c:v>
                </c:pt>
                <c:pt idx="222" formatCode="0.00">
                  <c:v>27397677.775066774</c:v>
                </c:pt>
              </c:numCache>
            </c:numRef>
          </c:val>
          <c:smooth val="0"/>
          <c:extLst>
            <c:ext xmlns:c15="http://schemas.microsoft.com/office/drawing/2012/chart" uri="{02D57815-91ED-43cb-92C2-25804820EDAC}">
              <c15:filteredSeriesTitle>
                <c15:tx>
                  <c:strRef>
                    <c:extLst>
                      <c:ext uri="{02D57815-91ED-43cb-92C2-25804820EDAC}">
                        <c15:formulaRef>
                          <c15:sqref>'Forecast Sheet '!$E$1</c15:sqref>
                        </c15:formulaRef>
                      </c:ext>
                    </c:extLst>
                    <c:strCache>
                      <c:ptCount val="1"/>
                      <c:pt idx="0">
                        <c:v>Upper Confidence Bound(Confirmed Cases)</c:v>
                      </c:pt>
                    </c:strCache>
                  </c:strRef>
                </c15:tx>
              </c15:filteredSeriesTitle>
            </c:ext>
            <c:ext xmlns:c15="http://schemas.microsoft.com/office/drawing/2012/chart" uri="{02D57815-91ED-43cb-92C2-25804820EDAC}">
              <c15:filteredCategoryTitle>
                <c15:cat>
                  <c:numRef>
                    <c:extLst>
                      <c:ext uri="{02D57815-91ED-43cb-92C2-25804820EDAC}">
                        <c15:formulaRef>
                          <c15:sqref>'Forecast Sheet '!$A$2:$A$224</c15:sqref>
                        </c15:formulaRef>
                      </c:ext>
                    </c:extLst>
                    <c:numCache>
                      <c:formatCode>m/d/yyyy</c:formatCode>
                      <c:ptCount val="223"/>
                      <c:pt idx="0">
                        <c:v>43852</c:v>
                      </c:pt>
                      <c:pt idx="1">
                        <c:v>43853</c:v>
                      </c:pt>
                      <c:pt idx="2">
                        <c:v>43854</c:v>
                      </c:pt>
                      <c:pt idx="3">
                        <c:v>43855</c:v>
                      </c:pt>
                      <c:pt idx="4">
                        <c:v>43856</c:v>
                      </c:pt>
                      <c:pt idx="5">
                        <c:v>43857</c:v>
                      </c:pt>
                      <c:pt idx="6">
                        <c:v>43858</c:v>
                      </c:pt>
                      <c:pt idx="7">
                        <c:v>43859</c:v>
                      </c:pt>
                      <c:pt idx="8">
                        <c:v>43860</c:v>
                      </c:pt>
                      <c:pt idx="9">
                        <c:v>43861</c:v>
                      </c:pt>
                      <c:pt idx="10">
                        <c:v>43862</c:v>
                      </c:pt>
                      <c:pt idx="11">
                        <c:v>43863</c:v>
                      </c:pt>
                      <c:pt idx="12">
                        <c:v>43864</c:v>
                      </c:pt>
                      <c:pt idx="13">
                        <c:v>43865</c:v>
                      </c:pt>
                      <c:pt idx="14">
                        <c:v>43866</c:v>
                      </c:pt>
                      <c:pt idx="15">
                        <c:v>43867</c:v>
                      </c:pt>
                      <c:pt idx="16">
                        <c:v>43868</c:v>
                      </c:pt>
                      <c:pt idx="17">
                        <c:v>43869</c:v>
                      </c:pt>
                      <c:pt idx="18">
                        <c:v>43870</c:v>
                      </c:pt>
                      <c:pt idx="19">
                        <c:v>43871</c:v>
                      </c:pt>
                      <c:pt idx="20">
                        <c:v>43872</c:v>
                      </c:pt>
                      <c:pt idx="21">
                        <c:v>43873</c:v>
                      </c:pt>
                      <c:pt idx="22">
                        <c:v>43874</c:v>
                      </c:pt>
                      <c:pt idx="23">
                        <c:v>43875</c:v>
                      </c:pt>
                      <c:pt idx="24">
                        <c:v>43876</c:v>
                      </c:pt>
                      <c:pt idx="25">
                        <c:v>43877</c:v>
                      </c:pt>
                      <c:pt idx="26">
                        <c:v>43878</c:v>
                      </c:pt>
                      <c:pt idx="27">
                        <c:v>43879</c:v>
                      </c:pt>
                      <c:pt idx="28">
                        <c:v>43880</c:v>
                      </c:pt>
                      <c:pt idx="29">
                        <c:v>43881</c:v>
                      </c:pt>
                      <c:pt idx="30">
                        <c:v>43882</c:v>
                      </c:pt>
                      <c:pt idx="31">
                        <c:v>43883</c:v>
                      </c:pt>
                      <c:pt idx="32">
                        <c:v>43884</c:v>
                      </c:pt>
                      <c:pt idx="33">
                        <c:v>43885</c:v>
                      </c:pt>
                      <c:pt idx="34">
                        <c:v>43886</c:v>
                      </c:pt>
                      <c:pt idx="35">
                        <c:v>43887</c:v>
                      </c:pt>
                      <c:pt idx="36">
                        <c:v>43888</c:v>
                      </c:pt>
                      <c:pt idx="37">
                        <c:v>43889</c:v>
                      </c:pt>
                      <c:pt idx="38">
                        <c:v>43890</c:v>
                      </c:pt>
                      <c:pt idx="39">
                        <c:v>43891</c:v>
                      </c:pt>
                      <c:pt idx="40">
                        <c:v>43892</c:v>
                      </c:pt>
                      <c:pt idx="41">
                        <c:v>43893</c:v>
                      </c:pt>
                      <c:pt idx="42">
                        <c:v>43894</c:v>
                      </c:pt>
                      <c:pt idx="43">
                        <c:v>43895</c:v>
                      </c:pt>
                      <c:pt idx="44">
                        <c:v>43896</c:v>
                      </c:pt>
                      <c:pt idx="45">
                        <c:v>43897</c:v>
                      </c:pt>
                      <c:pt idx="46">
                        <c:v>43898</c:v>
                      </c:pt>
                      <c:pt idx="47">
                        <c:v>43899</c:v>
                      </c:pt>
                      <c:pt idx="48">
                        <c:v>43900</c:v>
                      </c:pt>
                      <c:pt idx="49">
                        <c:v>43901</c:v>
                      </c:pt>
                      <c:pt idx="50">
                        <c:v>43902</c:v>
                      </c:pt>
                      <c:pt idx="51">
                        <c:v>43903</c:v>
                      </c:pt>
                      <c:pt idx="52">
                        <c:v>43904</c:v>
                      </c:pt>
                      <c:pt idx="53">
                        <c:v>43905</c:v>
                      </c:pt>
                      <c:pt idx="54">
                        <c:v>43906</c:v>
                      </c:pt>
                      <c:pt idx="55">
                        <c:v>43907</c:v>
                      </c:pt>
                      <c:pt idx="56">
                        <c:v>43908</c:v>
                      </c:pt>
                      <c:pt idx="57">
                        <c:v>43909</c:v>
                      </c:pt>
                      <c:pt idx="58">
                        <c:v>43910</c:v>
                      </c:pt>
                      <c:pt idx="59">
                        <c:v>43911</c:v>
                      </c:pt>
                      <c:pt idx="60">
                        <c:v>43912</c:v>
                      </c:pt>
                      <c:pt idx="61">
                        <c:v>43913</c:v>
                      </c:pt>
                      <c:pt idx="62">
                        <c:v>43914</c:v>
                      </c:pt>
                      <c:pt idx="63">
                        <c:v>43915</c:v>
                      </c:pt>
                      <c:pt idx="64">
                        <c:v>43916</c:v>
                      </c:pt>
                      <c:pt idx="65">
                        <c:v>43917</c:v>
                      </c:pt>
                      <c:pt idx="66">
                        <c:v>43918</c:v>
                      </c:pt>
                      <c:pt idx="67">
                        <c:v>43919</c:v>
                      </c:pt>
                      <c:pt idx="68">
                        <c:v>43920</c:v>
                      </c:pt>
                      <c:pt idx="69">
                        <c:v>43921</c:v>
                      </c:pt>
                      <c:pt idx="70">
                        <c:v>43922</c:v>
                      </c:pt>
                      <c:pt idx="71">
                        <c:v>43923</c:v>
                      </c:pt>
                      <c:pt idx="72">
                        <c:v>43924</c:v>
                      </c:pt>
                      <c:pt idx="73">
                        <c:v>43925</c:v>
                      </c:pt>
                      <c:pt idx="74">
                        <c:v>43926</c:v>
                      </c:pt>
                      <c:pt idx="75">
                        <c:v>43927</c:v>
                      </c:pt>
                      <c:pt idx="76">
                        <c:v>43928</c:v>
                      </c:pt>
                      <c:pt idx="77">
                        <c:v>43929</c:v>
                      </c:pt>
                      <c:pt idx="78">
                        <c:v>43930</c:v>
                      </c:pt>
                      <c:pt idx="79">
                        <c:v>43931</c:v>
                      </c:pt>
                      <c:pt idx="80">
                        <c:v>43932</c:v>
                      </c:pt>
                      <c:pt idx="81">
                        <c:v>43933</c:v>
                      </c:pt>
                      <c:pt idx="82">
                        <c:v>43934</c:v>
                      </c:pt>
                      <c:pt idx="83">
                        <c:v>43935</c:v>
                      </c:pt>
                      <c:pt idx="84">
                        <c:v>43936</c:v>
                      </c:pt>
                      <c:pt idx="85">
                        <c:v>43937</c:v>
                      </c:pt>
                      <c:pt idx="86">
                        <c:v>43938</c:v>
                      </c:pt>
                      <c:pt idx="87">
                        <c:v>43939</c:v>
                      </c:pt>
                      <c:pt idx="88">
                        <c:v>43940</c:v>
                      </c:pt>
                      <c:pt idx="89">
                        <c:v>43941</c:v>
                      </c:pt>
                      <c:pt idx="90">
                        <c:v>43942</c:v>
                      </c:pt>
                      <c:pt idx="91">
                        <c:v>43943</c:v>
                      </c:pt>
                      <c:pt idx="92">
                        <c:v>43944</c:v>
                      </c:pt>
                      <c:pt idx="93">
                        <c:v>43945</c:v>
                      </c:pt>
                      <c:pt idx="94">
                        <c:v>43946</c:v>
                      </c:pt>
                      <c:pt idx="95">
                        <c:v>43947</c:v>
                      </c:pt>
                      <c:pt idx="96">
                        <c:v>43948</c:v>
                      </c:pt>
                      <c:pt idx="97">
                        <c:v>43949</c:v>
                      </c:pt>
                      <c:pt idx="98">
                        <c:v>43950</c:v>
                      </c:pt>
                      <c:pt idx="99">
                        <c:v>43951</c:v>
                      </c:pt>
                      <c:pt idx="100">
                        <c:v>43952</c:v>
                      </c:pt>
                      <c:pt idx="101">
                        <c:v>43953</c:v>
                      </c:pt>
                      <c:pt idx="102">
                        <c:v>43954</c:v>
                      </c:pt>
                      <c:pt idx="103">
                        <c:v>43955</c:v>
                      </c:pt>
                      <c:pt idx="104">
                        <c:v>43956</c:v>
                      </c:pt>
                      <c:pt idx="105">
                        <c:v>43957</c:v>
                      </c:pt>
                      <c:pt idx="106">
                        <c:v>43958</c:v>
                      </c:pt>
                      <c:pt idx="107">
                        <c:v>43959</c:v>
                      </c:pt>
                      <c:pt idx="108">
                        <c:v>43960</c:v>
                      </c:pt>
                      <c:pt idx="109">
                        <c:v>43961</c:v>
                      </c:pt>
                      <c:pt idx="110">
                        <c:v>43962</c:v>
                      </c:pt>
                      <c:pt idx="111">
                        <c:v>43963</c:v>
                      </c:pt>
                      <c:pt idx="112">
                        <c:v>43964</c:v>
                      </c:pt>
                      <c:pt idx="113">
                        <c:v>43965</c:v>
                      </c:pt>
                      <c:pt idx="114">
                        <c:v>43966</c:v>
                      </c:pt>
                      <c:pt idx="115">
                        <c:v>43967</c:v>
                      </c:pt>
                      <c:pt idx="116">
                        <c:v>43968</c:v>
                      </c:pt>
                      <c:pt idx="117">
                        <c:v>43969</c:v>
                      </c:pt>
                      <c:pt idx="118">
                        <c:v>43970</c:v>
                      </c:pt>
                      <c:pt idx="119">
                        <c:v>43971</c:v>
                      </c:pt>
                      <c:pt idx="120">
                        <c:v>43972</c:v>
                      </c:pt>
                      <c:pt idx="121">
                        <c:v>43973</c:v>
                      </c:pt>
                      <c:pt idx="122">
                        <c:v>43974</c:v>
                      </c:pt>
                      <c:pt idx="123">
                        <c:v>43975</c:v>
                      </c:pt>
                      <c:pt idx="124">
                        <c:v>43976</c:v>
                      </c:pt>
                      <c:pt idx="125">
                        <c:v>43977</c:v>
                      </c:pt>
                      <c:pt idx="126">
                        <c:v>43978</c:v>
                      </c:pt>
                      <c:pt idx="127">
                        <c:v>43979</c:v>
                      </c:pt>
                      <c:pt idx="128">
                        <c:v>43980</c:v>
                      </c:pt>
                      <c:pt idx="129">
                        <c:v>43981</c:v>
                      </c:pt>
                      <c:pt idx="130">
                        <c:v>43982</c:v>
                      </c:pt>
                      <c:pt idx="131">
                        <c:v>43983</c:v>
                      </c:pt>
                      <c:pt idx="132">
                        <c:v>43984</c:v>
                      </c:pt>
                      <c:pt idx="133">
                        <c:v>43985</c:v>
                      </c:pt>
                      <c:pt idx="134">
                        <c:v>43986</c:v>
                      </c:pt>
                      <c:pt idx="135">
                        <c:v>43987</c:v>
                      </c:pt>
                      <c:pt idx="136">
                        <c:v>43988</c:v>
                      </c:pt>
                      <c:pt idx="137">
                        <c:v>43989</c:v>
                      </c:pt>
                      <c:pt idx="138">
                        <c:v>43990</c:v>
                      </c:pt>
                      <c:pt idx="139">
                        <c:v>43991</c:v>
                      </c:pt>
                      <c:pt idx="140">
                        <c:v>43992</c:v>
                      </c:pt>
                      <c:pt idx="141">
                        <c:v>43993</c:v>
                      </c:pt>
                      <c:pt idx="142">
                        <c:v>43994</c:v>
                      </c:pt>
                      <c:pt idx="143">
                        <c:v>43995</c:v>
                      </c:pt>
                      <c:pt idx="144">
                        <c:v>43996</c:v>
                      </c:pt>
                      <c:pt idx="145">
                        <c:v>43997</c:v>
                      </c:pt>
                      <c:pt idx="146">
                        <c:v>43998</c:v>
                      </c:pt>
                      <c:pt idx="147">
                        <c:v>43999</c:v>
                      </c:pt>
                      <c:pt idx="148">
                        <c:v>44000</c:v>
                      </c:pt>
                      <c:pt idx="149">
                        <c:v>44001</c:v>
                      </c:pt>
                      <c:pt idx="150">
                        <c:v>44002</c:v>
                      </c:pt>
                      <c:pt idx="151">
                        <c:v>44003</c:v>
                      </c:pt>
                      <c:pt idx="152">
                        <c:v>44004</c:v>
                      </c:pt>
                      <c:pt idx="153">
                        <c:v>44005</c:v>
                      </c:pt>
                      <c:pt idx="154">
                        <c:v>44006</c:v>
                      </c:pt>
                      <c:pt idx="155">
                        <c:v>44007</c:v>
                      </c:pt>
                      <c:pt idx="156">
                        <c:v>44008</c:v>
                      </c:pt>
                      <c:pt idx="157">
                        <c:v>44009</c:v>
                      </c:pt>
                      <c:pt idx="158">
                        <c:v>44010</c:v>
                      </c:pt>
                      <c:pt idx="159">
                        <c:v>44011</c:v>
                      </c:pt>
                      <c:pt idx="160">
                        <c:v>44012</c:v>
                      </c:pt>
                      <c:pt idx="161">
                        <c:v>44013</c:v>
                      </c:pt>
                      <c:pt idx="162">
                        <c:v>44014</c:v>
                      </c:pt>
                      <c:pt idx="163">
                        <c:v>44015</c:v>
                      </c:pt>
                      <c:pt idx="164">
                        <c:v>44016</c:v>
                      </c:pt>
                      <c:pt idx="165">
                        <c:v>44017</c:v>
                      </c:pt>
                      <c:pt idx="166">
                        <c:v>44018</c:v>
                      </c:pt>
                      <c:pt idx="167">
                        <c:v>44019</c:v>
                      </c:pt>
                      <c:pt idx="168">
                        <c:v>44020</c:v>
                      </c:pt>
                      <c:pt idx="169">
                        <c:v>44021</c:v>
                      </c:pt>
                      <c:pt idx="170">
                        <c:v>44022</c:v>
                      </c:pt>
                      <c:pt idx="171">
                        <c:v>44023</c:v>
                      </c:pt>
                      <c:pt idx="172">
                        <c:v>44024</c:v>
                      </c:pt>
                      <c:pt idx="173">
                        <c:v>44025</c:v>
                      </c:pt>
                      <c:pt idx="174">
                        <c:v>44026</c:v>
                      </c:pt>
                      <c:pt idx="175">
                        <c:v>44027</c:v>
                      </c:pt>
                      <c:pt idx="176">
                        <c:v>44028</c:v>
                      </c:pt>
                      <c:pt idx="177">
                        <c:v>44029</c:v>
                      </c:pt>
                      <c:pt idx="178">
                        <c:v>44030</c:v>
                      </c:pt>
                      <c:pt idx="179">
                        <c:v>44031</c:v>
                      </c:pt>
                      <c:pt idx="180">
                        <c:v>44032</c:v>
                      </c:pt>
                      <c:pt idx="181">
                        <c:v>44033</c:v>
                      </c:pt>
                      <c:pt idx="182">
                        <c:v>44034</c:v>
                      </c:pt>
                      <c:pt idx="183">
                        <c:v>44035</c:v>
                      </c:pt>
                      <c:pt idx="184">
                        <c:v>44036</c:v>
                      </c:pt>
                      <c:pt idx="185">
                        <c:v>44037</c:v>
                      </c:pt>
                      <c:pt idx="186">
                        <c:v>44038</c:v>
                      </c:pt>
                      <c:pt idx="187">
                        <c:v>44039</c:v>
                      </c:pt>
                      <c:pt idx="188">
                        <c:v>44040</c:v>
                      </c:pt>
                      <c:pt idx="189">
                        <c:v>44041</c:v>
                      </c:pt>
                      <c:pt idx="190">
                        <c:v>44042</c:v>
                      </c:pt>
                      <c:pt idx="191">
                        <c:v>44043</c:v>
                      </c:pt>
                      <c:pt idx="192">
                        <c:v>44044</c:v>
                      </c:pt>
                      <c:pt idx="193">
                        <c:v>44045</c:v>
                      </c:pt>
                      <c:pt idx="194">
                        <c:v>44046</c:v>
                      </c:pt>
                      <c:pt idx="195">
                        <c:v>44047</c:v>
                      </c:pt>
                      <c:pt idx="196">
                        <c:v>44048</c:v>
                      </c:pt>
                      <c:pt idx="197">
                        <c:v>44049</c:v>
                      </c:pt>
                      <c:pt idx="198">
                        <c:v>44050</c:v>
                      </c:pt>
                      <c:pt idx="199">
                        <c:v>44051</c:v>
                      </c:pt>
                      <c:pt idx="200">
                        <c:v>44052</c:v>
                      </c:pt>
                      <c:pt idx="201">
                        <c:v>44053</c:v>
                      </c:pt>
                      <c:pt idx="202">
                        <c:v>44054</c:v>
                      </c:pt>
                      <c:pt idx="203">
                        <c:v>44055</c:v>
                      </c:pt>
                      <c:pt idx="204">
                        <c:v>44056</c:v>
                      </c:pt>
                      <c:pt idx="205">
                        <c:v>44057</c:v>
                      </c:pt>
                      <c:pt idx="206">
                        <c:v>44058</c:v>
                      </c:pt>
                      <c:pt idx="207">
                        <c:v>44059</c:v>
                      </c:pt>
                      <c:pt idx="208">
                        <c:v>44060</c:v>
                      </c:pt>
                      <c:pt idx="209">
                        <c:v>44061</c:v>
                      </c:pt>
                      <c:pt idx="210">
                        <c:v>44062</c:v>
                      </c:pt>
                      <c:pt idx="211">
                        <c:v>44063</c:v>
                      </c:pt>
                      <c:pt idx="212">
                        <c:v>44064</c:v>
                      </c:pt>
                      <c:pt idx="213">
                        <c:v>44065</c:v>
                      </c:pt>
                      <c:pt idx="214">
                        <c:v>44066</c:v>
                      </c:pt>
                      <c:pt idx="215">
                        <c:v>44067</c:v>
                      </c:pt>
                      <c:pt idx="216">
                        <c:v>44068</c:v>
                      </c:pt>
                      <c:pt idx="217">
                        <c:v>44069</c:v>
                      </c:pt>
                      <c:pt idx="218">
                        <c:v>44070</c:v>
                      </c:pt>
                      <c:pt idx="219">
                        <c:v>44071</c:v>
                      </c:pt>
                      <c:pt idx="220">
                        <c:v>44072</c:v>
                      </c:pt>
                      <c:pt idx="221">
                        <c:v>44073</c:v>
                      </c:pt>
                      <c:pt idx="222">
                        <c:v>44074</c:v>
                      </c:pt>
                    </c:numCache>
                  </c:numRef>
                </c15:cat>
              </c15:filteredCategoryTitle>
            </c:ext>
            <c:ext xmlns:c16="http://schemas.microsoft.com/office/drawing/2014/chart" uri="{C3380CC4-5D6E-409C-BE32-E72D297353CC}">
              <c16:uniqueId val="{00000003-9DD7-4713-BC66-B167AD5956A9}"/>
            </c:ext>
          </c:extLst>
        </c:ser>
        <c:dLbls>
          <c:showLegendKey val="0"/>
          <c:showVal val="0"/>
          <c:showCatName val="0"/>
          <c:showSerName val="0"/>
          <c:showPercent val="0"/>
          <c:showBubbleSize val="0"/>
        </c:dLbls>
        <c:smooth val="0"/>
        <c:axId val="1781723759"/>
        <c:axId val="1854703887"/>
      </c:lineChart>
      <c:catAx>
        <c:axId val="1781723759"/>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03887"/>
        <c:crosses val="autoZero"/>
        <c:auto val="1"/>
        <c:lblAlgn val="ctr"/>
        <c:lblOffset val="100"/>
        <c:noMultiLvlLbl val="0"/>
      </c:catAx>
      <c:valAx>
        <c:axId val="185470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2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emf"/><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353671</xdr:colOff>
      <xdr:row>1</xdr:row>
      <xdr:rowOff>63502</xdr:rowOff>
    </xdr:from>
    <xdr:to>
      <xdr:col>3</xdr:col>
      <xdr:colOff>160760</xdr:colOff>
      <xdr:row>7</xdr:row>
      <xdr:rowOff>119064</xdr:rowOff>
    </xdr:to>
    <xdr:sp macro="" textlink="'day_wise - raw data'!R20">
      <xdr:nvSpPr>
        <xdr:cNvPr id="12" name="Rectangle: Rounded Corners 11">
          <a:extLst>
            <a:ext uri="{FF2B5EF4-FFF2-40B4-BE49-F238E27FC236}">
              <a16:creationId xmlns:a16="http://schemas.microsoft.com/office/drawing/2014/main" id="{488CAF9F-69B2-59BF-F526-ED9D8D7774FE}"/>
            </a:ext>
          </a:extLst>
        </xdr:cNvPr>
        <xdr:cNvSpPr/>
      </xdr:nvSpPr>
      <xdr:spPr>
        <a:xfrm>
          <a:off x="353671" y="360907"/>
          <a:ext cx="1639747" cy="1164803"/>
        </a:xfrm>
        <a:prstGeom prst="roundRect">
          <a:avLst/>
        </a:prstGeom>
        <a:solidFill>
          <a:schemeClr val="accent6">
            <a:lumMod val="75000"/>
          </a:schemeClr>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ctr"/>
          <a:fld id="{5B6BEB4C-3893-47C5-8BE5-A2A59FE9ACCA}" type="TxLink">
            <a:rPr lang="en-US" sz="18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 </a:t>
          </a:fld>
          <a:endParaRPr lang="en-IN" sz="1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xdr:col>
      <xdr:colOff>92760</xdr:colOff>
      <xdr:row>6</xdr:row>
      <xdr:rowOff>38299</xdr:rowOff>
    </xdr:from>
    <xdr:to>
      <xdr:col>3</xdr:col>
      <xdr:colOff>134952</xdr:colOff>
      <xdr:row>8</xdr:row>
      <xdr:rowOff>182230</xdr:rowOff>
    </xdr:to>
    <xdr:sp macro="" textlink="">
      <xdr:nvSpPr>
        <xdr:cNvPr id="6145" name="Text Box 1">
          <a:extLst>
            <a:ext uri="{FF2B5EF4-FFF2-40B4-BE49-F238E27FC236}">
              <a16:creationId xmlns:a16="http://schemas.microsoft.com/office/drawing/2014/main" id="{FE4529D0-33D0-21F5-5514-1C11DD68E27A}"/>
            </a:ext>
          </a:extLst>
        </xdr:cNvPr>
        <xdr:cNvSpPr txBox="1">
          <a:spLocks noChangeArrowheads="1"/>
        </xdr:cNvSpPr>
      </xdr:nvSpPr>
      <xdr:spPr bwMode="auto">
        <a:xfrm>
          <a:off x="1314532" y="1260071"/>
          <a:ext cx="653078" cy="513678"/>
        </a:xfrm>
        <a:prstGeom prst="rect">
          <a:avLst/>
        </a:prstGeom>
        <a:noFill/>
        <a:ln>
          <a:noFill/>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36576" tIns="32004" rIns="0" bIns="0" anchor="t" upright="1"/>
        <a:lstStyle/>
        <a:p>
          <a:pPr algn="l" rtl="0">
            <a:defRPr sz="1000"/>
          </a:pPr>
          <a:r>
            <a:rPr lang="en-IN" sz="1100" b="0" i="0" u="none" strike="noStrike" baseline="0">
              <a:solidFill>
                <a:srgbClr val="000000"/>
              </a:solidFill>
              <a:latin typeface="+mn-lt"/>
            </a:rPr>
            <a:t>🧑‍⚕️</a:t>
          </a:r>
        </a:p>
      </xdr:txBody>
    </xdr:sp>
    <xdr:clientData/>
  </xdr:twoCellAnchor>
  <xdr:twoCellAnchor>
    <xdr:from>
      <xdr:col>0</xdr:col>
      <xdr:colOff>433974</xdr:colOff>
      <xdr:row>4</xdr:row>
      <xdr:rowOff>144212</xdr:rowOff>
    </xdr:from>
    <xdr:to>
      <xdr:col>3</xdr:col>
      <xdr:colOff>219660</xdr:colOff>
      <xdr:row>7</xdr:row>
      <xdr:rowOff>175961</xdr:rowOff>
    </xdr:to>
    <xdr:sp macro="" textlink="">
      <xdr:nvSpPr>
        <xdr:cNvPr id="13" name="TextBox 12">
          <a:extLst>
            <a:ext uri="{FF2B5EF4-FFF2-40B4-BE49-F238E27FC236}">
              <a16:creationId xmlns:a16="http://schemas.microsoft.com/office/drawing/2014/main" id="{62F92BDB-7617-392E-545D-4B00AE06FAB3}"/>
            </a:ext>
          </a:extLst>
        </xdr:cNvPr>
        <xdr:cNvSpPr txBox="1"/>
      </xdr:nvSpPr>
      <xdr:spPr>
        <a:xfrm>
          <a:off x="433974" y="996237"/>
          <a:ext cx="1618344" cy="586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6">
                  <a:lumMod val="20000"/>
                  <a:lumOff val="80000"/>
                </a:schemeClr>
              </a:solidFill>
            </a:rPr>
            <a:t>TOTAL RECOVERED</a:t>
          </a:r>
        </a:p>
        <a:p>
          <a:pPr algn="l"/>
          <a:r>
            <a:rPr lang="en-IN" sz="1400" b="1">
              <a:solidFill>
                <a:schemeClr val="accent6">
                  <a:lumMod val="20000"/>
                  <a:lumOff val="80000"/>
                </a:schemeClr>
              </a:solidFill>
            </a:rPr>
            <a:t> PATIENT  </a:t>
          </a:r>
          <a:r>
            <a:rPr lang="en-IN" sz="1100">
              <a:solidFill>
                <a:schemeClr val="accent6">
                  <a:lumMod val="20000"/>
                  <a:lumOff val="80000"/>
                </a:schemeClr>
              </a:solidFill>
              <a:effectLst/>
              <a:latin typeface="+mn-lt"/>
              <a:ea typeface="+mn-ea"/>
              <a:cs typeface="+mn-cs"/>
            </a:rPr>
            <a:t>▲</a:t>
          </a:r>
          <a:endParaRPr lang="en-IN" sz="1400" b="1">
            <a:solidFill>
              <a:schemeClr val="accent6">
                <a:lumMod val="20000"/>
                <a:lumOff val="80000"/>
              </a:schemeClr>
            </a:solidFill>
          </a:endParaRPr>
        </a:p>
      </xdr:txBody>
    </xdr:sp>
    <xdr:clientData/>
  </xdr:twoCellAnchor>
  <xdr:twoCellAnchor>
    <xdr:from>
      <xdr:col>3</xdr:col>
      <xdr:colOff>342901</xdr:colOff>
      <xdr:row>1</xdr:row>
      <xdr:rowOff>65090</xdr:rowOff>
    </xdr:from>
    <xdr:to>
      <xdr:col>6</xdr:col>
      <xdr:colOff>184151</xdr:colOff>
      <xdr:row>7</xdr:row>
      <xdr:rowOff>120652</xdr:rowOff>
    </xdr:to>
    <xdr:sp macro="" textlink="'day_wise - raw data'!N3">
      <xdr:nvSpPr>
        <xdr:cNvPr id="16" name="Rectangle: Rounded Corners 15">
          <a:extLst>
            <a:ext uri="{FF2B5EF4-FFF2-40B4-BE49-F238E27FC236}">
              <a16:creationId xmlns:a16="http://schemas.microsoft.com/office/drawing/2014/main" id="{424ADBAB-D71A-4D63-B16B-4B544CCC1E74}"/>
            </a:ext>
          </a:extLst>
        </xdr:cNvPr>
        <xdr:cNvSpPr/>
      </xdr:nvSpPr>
      <xdr:spPr>
        <a:xfrm>
          <a:off x="2175559" y="362495"/>
          <a:ext cx="1673908" cy="1164803"/>
        </a:xfrm>
        <a:prstGeom prst="roundRect">
          <a:avLst/>
        </a:prstGeom>
        <a:solidFill>
          <a:srgbClr val="C00000"/>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EDBD80AE-14AA-46DB-86CD-3DEBBF8A4181}" type="TxLink">
            <a:rPr lang="en-US" sz="1800" b="1" i="0" u="none" strike="noStrike">
              <a:solidFill>
                <a:srgbClr val="F2C4D1"/>
              </a:solidFill>
              <a:latin typeface="Aptos Narrow"/>
            </a:rPr>
            <a:pPr algn="l"/>
            <a:t>0.65 M</a:t>
          </a:fld>
          <a:endParaRPr lang="en-IN" sz="1800" b="1">
            <a:solidFill>
              <a:srgbClr val="F2C4D1"/>
            </a:solidFill>
          </a:endParaRPr>
        </a:p>
      </xdr:txBody>
    </xdr:sp>
    <xdr:clientData/>
  </xdr:twoCellAnchor>
  <xdr:twoCellAnchor>
    <xdr:from>
      <xdr:col>3</xdr:col>
      <xdr:colOff>404813</xdr:colOff>
      <xdr:row>6</xdr:row>
      <xdr:rowOff>7938</xdr:rowOff>
    </xdr:from>
    <xdr:to>
      <xdr:col>4</xdr:col>
      <xdr:colOff>317501</xdr:colOff>
      <xdr:row>8</xdr:row>
      <xdr:rowOff>39688</xdr:rowOff>
    </xdr:to>
    <xdr:sp macro="" textlink="">
      <xdr:nvSpPr>
        <xdr:cNvPr id="6146" name="Text Box 2">
          <a:extLst>
            <a:ext uri="{FF2B5EF4-FFF2-40B4-BE49-F238E27FC236}">
              <a16:creationId xmlns:a16="http://schemas.microsoft.com/office/drawing/2014/main" id="{53C3A5AF-5C54-0A35-3CA0-A68761A2520C}"/>
            </a:ext>
          </a:extLst>
        </xdr:cNvPr>
        <xdr:cNvSpPr txBox="1">
          <a:spLocks noChangeArrowheads="1"/>
        </xdr:cNvSpPr>
      </xdr:nvSpPr>
      <xdr:spPr bwMode="auto">
        <a:xfrm>
          <a:off x="2238376" y="1103313"/>
          <a:ext cx="523875" cy="396875"/>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 </a:t>
          </a:r>
        </a:p>
      </xdr:txBody>
    </xdr:sp>
    <xdr:clientData/>
  </xdr:twoCellAnchor>
  <xdr:twoCellAnchor>
    <xdr:from>
      <xdr:col>3</xdr:col>
      <xdr:colOff>603250</xdr:colOff>
      <xdr:row>5</xdr:row>
      <xdr:rowOff>158750</xdr:rowOff>
    </xdr:from>
    <xdr:to>
      <xdr:col>6</xdr:col>
      <xdr:colOff>225592</xdr:colOff>
      <xdr:row>7</xdr:row>
      <xdr:rowOff>83553</xdr:rowOff>
    </xdr:to>
    <xdr:sp macro="" textlink="">
      <xdr:nvSpPr>
        <xdr:cNvPr id="18" name="TextBox 17">
          <a:extLst>
            <a:ext uri="{FF2B5EF4-FFF2-40B4-BE49-F238E27FC236}">
              <a16:creationId xmlns:a16="http://schemas.microsoft.com/office/drawing/2014/main" id="{A08999DB-27AD-667F-D920-1F2314531E4E}"/>
            </a:ext>
          </a:extLst>
        </xdr:cNvPr>
        <xdr:cNvSpPr txBox="1"/>
      </xdr:nvSpPr>
      <xdr:spPr>
        <a:xfrm>
          <a:off x="2433053" y="1194803"/>
          <a:ext cx="1452144" cy="29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2C4D1"/>
              </a:solidFill>
            </a:rPr>
            <a:t>TOTAL DEATH </a:t>
          </a:r>
          <a:r>
            <a:rPr lang="en-IN" sz="1100">
              <a:solidFill>
                <a:srgbClr val="F2C4D1"/>
              </a:solidFill>
              <a:effectLst/>
              <a:latin typeface="+mn-lt"/>
              <a:ea typeface="+mn-ea"/>
              <a:cs typeface="+mn-cs"/>
            </a:rPr>
            <a:t>▲</a:t>
          </a:r>
          <a:endParaRPr lang="en-IN" sz="1400" b="1">
            <a:solidFill>
              <a:srgbClr val="F2C4D1"/>
            </a:solidFill>
          </a:endParaRPr>
        </a:p>
      </xdr:txBody>
    </xdr:sp>
    <xdr:clientData/>
  </xdr:twoCellAnchor>
  <xdr:twoCellAnchor>
    <xdr:from>
      <xdr:col>0</xdr:col>
      <xdr:colOff>344489</xdr:colOff>
      <xdr:row>8</xdr:row>
      <xdr:rowOff>74414</xdr:rowOff>
    </xdr:from>
    <xdr:to>
      <xdr:col>3</xdr:col>
      <xdr:colOff>185738</xdr:colOff>
      <xdr:row>14</xdr:row>
      <xdr:rowOff>129976</xdr:rowOff>
    </xdr:to>
    <xdr:sp macro="" textlink="'day_wise - raw data'!N4">
      <xdr:nvSpPr>
        <xdr:cNvPr id="19" name="Rectangle: Rounded Corners 18">
          <a:extLst>
            <a:ext uri="{FF2B5EF4-FFF2-40B4-BE49-F238E27FC236}">
              <a16:creationId xmlns:a16="http://schemas.microsoft.com/office/drawing/2014/main" id="{40ADFD88-CA2C-43BA-B5C0-84B9CC1BAB1E}"/>
            </a:ext>
          </a:extLst>
        </xdr:cNvPr>
        <xdr:cNvSpPr/>
      </xdr:nvSpPr>
      <xdr:spPr>
        <a:xfrm>
          <a:off x="344489" y="1665933"/>
          <a:ext cx="1673907" cy="1164802"/>
        </a:xfrm>
        <a:prstGeom prst="roundRect">
          <a:avLst/>
        </a:prstGeom>
        <a:solidFill>
          <a:schemeClr val="accent1"/>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40517BED-129B-478A-BDD6-813F6A3D95A8}" type="TxLink">
            <a:rPr lang="en-US" sz="1800" b="1" i="0" u="none" strike="noStrike">
              <a:solidFill>
                <a:schemeClr val="accent1">
                  <a:lumMod val="20000"/>
                  <a:lumOff val="80000"/>
                </a:schemeClr>
              </a:solidFill>
              <a:latin typeface="Aptos Narrow"/>
            </a:rPr>
            <a:pPr algn="l"/>
            <a:t>16.48 M</a:t>
          </a:fld>
          <a:endParaRPr lang="en-IN" sz="1800" b="1">
            <a:solidFill>
              <a:schemeClr val="accent1">
                <a:lumMod val="20000"/>
                <a:lumOff val="80000"/>
              </a:schemeClr>
            </a:solidFill>
          </a:endParaRPr>
        </a:p>
      </xdr:txBody>
    </xdr:sp>
    <xdr:clientData/>
  </xdr:twoCellAnchor>
  <xdr:twoCellAnchor>
    <xdr:from>
      <xdr:col>3</xdr:col>
      <xdr:colOff>346076</xdr:colOff>
      <xdr:row>8</xdr:row>
      <xdr:rowOff>63500</xdr:rowOff>
    </xdr:from>
    <xdr:to>
      <xdr:col>6</xdr:col>
      <xdr:colOff>187326</xdr:colOff>
      <xdr:row>14</xdr:row>
      <xdr:rowOff>146386</xdr:rowOff>
    </xdr:to>
    <xdr:sp macro="" textlink="'day_wise - raw data'!N5">
      <xdr:nvSpPr>
        <xdr:cNvPr id="20" name="Rectangle: Rounded Corners 19">
          <a:extLst>
            <a:ext uri="{FF2B5EF4-FFF2-40B4-BE49-F238E27FC236}">
              <a16:creationId xmlns:a16="http://schemas.microsoft.com/office/drawing/2014/main" id="{D5C32613-7002-437F-A134-44AC2EFBAB56}"/>
            </a:ext>
          </a:extLst>
        </xdr:cNvPr>
        <xdr:cNvSpPr/>
      </xdr:nvSpPr>
      <xdr:spPr>
        <a:xfrm>
          <a:off x="2179639" y="1643063"/>
          <a:ext cx="1674812" cy="1178261"/>
        </a:xfrm>
        <a:prstGeom prst="roundRect">
          <a:avLst/>
        </a:prstGeom>
        <a:solidFill>
          <a:schemeClr val="accent2"/>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t" anchorCtr="0"/>
        <a:lstStyle/>
        <a:p>
          <a:pPr algn="l"/>
          <a:fld id="{3DCE1E78-8516-47AD-B3E1-0C763153A639}" type="TxLink">
            <a:rPr lang="en-US" sz="1800" b="1" i="0" u="none" strike="noStrike">
              <a:solidFill>
                <a:schemeClr val="accent1">
                  <a:lumMod val="20000"/>
                  <a:lumOff val="80000"/>
                </a:schemeClr>
              </a:solidFill>
              <a:latin typeface="Aptos Narrow"/>
            </a:rPr>
            <a:pPr algn="l"/>
            <a:t>6.36 M</a:t>
          </a:fld>
          <a:endParaRPr lang="en-IN" sz="1800" b="1">
            <a:solidFill>
              <a:schemeClr val="accent1">
                <a:lumMod val="20000"/>
                <a:lumOff val="80000"/>
              </a:schemeClr>
            </a:solidFill>
          </a:endParaRPr>
        </a:p>
      </xdr:txBody>
    </xdr:sp>
    <xdr:clientData/>
  </xdr:twoCellAnchor>
  <xdr:twoCellAnchor>
    <xdr:from>
      <xdr:col>0</xdr:col>
      <xdr:colOff>396874</xdr:colOff>
      <xdr:row>12</xdr:row>
      <xdr:rowOff>23814</xdr:rowOff>
    </xdr:from>
    <xdr:to>
      <xdr:col>3</xdr:col>
      <xdr:colOff>190500</xdr:colOff>
      <xdr:row>15</xdr:row>
      <xdr:rowOff>103187</xdr:rowOff>
    </xdr:to>
    <xdr:sp macro="" textlink="">
      <xdr:nvSpPr>
        <xdr:cNvPr id="23" name="TextBox 22">
          <a:extLst>
            <a:ext uri="{FF2B5EF4-FFF2-40B4-BE49-F238E27FC236}">
              <a16:creationId xmlns:a16="http://schemas.microsoft.com/office/drawing/2014/main" id="{A074BDC9-E259-B2DB-63C6-C9639374365C}"/>
            </a:ext>
          </a:extLst>
        </xdr:cNvPr>
        <xdr:cNvSpPr txBox="1"/>
      </xdr:nvSpPr>
      <xdr:spPr>
        <a:xfrm>
          <a:off x="396874" y="2214564"/>
          <a:ext cx="1627189" cy="62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300" b="1">
              <a:solidFill>
                <a:schemeClr val="accent1">
                  <a:lumMod val="20000"/>
                  <a:lumOff val="80000"/>
                </a:schemeClr>
              </a:solidFill>
            </a:rPr>
            <a:t>TOTAL CONFIRMED PATIENTS ▲ </a:t>
          </a:r>
          <a:r>
            <a:rPr lang="en-IN" sz="1100">
              <a:solidFill>
                <a:schemeClr val="dk1"/>
              </a:solidFill>
              <a:effectLst/>
              <a:latin typeface="+mn-lt"/>
              <a:ea typeface="+mn-ea"/>
              <a:cs typeface="+mn-cs"/>
            </a:rPr>
            <a:t>▲</a:t>
          </a:r>
          <a:endParaRPr lang="en-IN" sz="1300" b="1">
            <a:solidFill>
              <a:schemeClr val="accent1">
                <a:lumMod val="20000"/>
                <a:lumOff val="80000"/>
              </a:schemeClr>
            </a:solidFill>
          </a:endParaRPr>
        </a:p>
      </xdr:txBody>
    </xdr:sp>
    <xdr:clientData/>
  </xdr:twoCellAnchor>
  <xdr:twoCellAnchor>
    <xdr:from>
      <xdr:col>2</xdr:col>
      <xdr:colOff>54309</xdr:colOff>
      <xdr:row>13</xdr:row>
      <xdr:rowOff>55979</xdr:rowOff>
    </xdr:from>
    <xdr:to>
      <xdr:col>3</xdr:col>
      <xdr:colOff>148306</xdr:colOff>
      <xdr:row>15</xdr:row>
      <xdr:rowOff>175460</xdr:rowOff>
    </xdr:to>
    <xdr:sp macro="" textlink="">
      <xdr:nvSpPr>
        <xdr:cNvPr id="6147" name="Text Box 3">
          <a:extLst>
            <a:ext uri="{FF2B5EF4-FFF2-40B4-BE49-F238E27FC236}">
              <a16:creationId xmlns:a16="http://schemas.microsoft.com/office/drawing/2014/main" id="{2FE77468-DB3D-06C0-7899-4A77C4D1D1DC}"/>
            </a:ext>
          </a:extLst>
        </xdr:cNvPr>
        <xdr:cNvSpPr txBox="1">
          <a:spLocks noChangeArrowheads="1"/>
        </xdr:cNvSpPr>
      </xdr:nvSpPr>
      <xdr:spPr bwMode="auto">
        <a:xfrm>
          <a:off x="1274177" y="2562558"/>
          <a:ext cx="703932" cy="48711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a:t>
          </a:r>
        </a:p>
      </xdr:txBody>
    </xdr:sp>
    <xdr:clientData/>
  </xdr:twoCellAnchor>
  <xdr:twoCellAnchor>
    <xdr:from>
      <xdr:col>3</xdr:col>
      <xdr:colOff>456641</xdr:colOff>
      <xdr:row>12</xdr:row>
      <xdr:rowOff>7897</xdr:rowOff>
    </xdr:from>
    <xdr:to>
      <xdr:col>6</xdr:col>
      <xdr:colOff>194704</xdr:colOff>
      <xdr:row>15</xdr:row>
      <xdr:rowOff>107324</xdr:rowOff>
    </xdr:to>
    <xdr:sp macro="" textlink="">
      <xdr:nvSpPr>
        <xdr:cNvPr id="24" name="TextBox 23">
          <a:extLst>
            <a:ext uri="{FF2B5EF4-FFF2-40B4-BE49-F238E27FC236}">
              <a16:creationId xmlns:a16="http://schemas.microsoft.com/office/drawing/2014/main" id="{2BBDBCDF-58BB-AE0C-4AE1-66405AAA8E6D}"/>
            </a:ext>
          </a:extLst>
        </xdr:cNvPr>
        <xdr:cNvSpPr txBox="1"/>
      </xdr:nvSpPr>
      <xdr:spPr>
        <a:xfrm>
          <a:off x="2281148" y="2369024"/>
          <a:ext cx="1562570" cy="66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50" b="1">
              <a:solidFill>
                <a:schemeClr val="accent2">
                  <a:lumMod val="20000"/>
                  <a:lumOff val="80000"/>
                </a:schemeClr>
              </a:solidFill>
            </a:rPr>
            <a:t>TOTAL</a:t>
          </a:r>
          <a:r>
            <a:rPr lang="en-IN" sz="1250" b="1" baseline="0">
              <a:solidFill>
                <a:schemeClr val="accent2">
                  <a:lumMod val="20000"/>
                  <a:lumOff val="80000"/>
                </a:schemeClr>
              </a:solidFill>
            </a:rPr>
            <a:t> </a:t>
          </a:r>
          <a:r>
            <a:rPr lang="en-IN" sz="1250" b="1">
              <a:solidFill>
                <a:schemeClr val="accent2">
                  <a:lumMod val="20000"/>
                  <a:lumOff val="80000"/>
                </a:schemeClr>
              </a:solidFill>
            </a:rPr>
            <a:t>ACTIVE CASE</a:t>
          </a:r>
        </a:p>
        <a:p>
          <a:pPr algn="ctr"/>
          <a:r>
            <a:rPr lang="en-IN" sz="1250" b="1">
              <a:solidFill>
                <a:schemeClr val="accent2">
                  <a:lumMod val="20000"/>
                  <a:lumOff val="80000"/>
                </a:schemeClr>
              </a:solidFill>
            </a:rPr>
            <a:t> </a:t>
          </a:r>
          <a:r>
            <a:rPr lang="en-IN" sz="1250">
              <a:solidFill>
                <a:schemeClr val="accent2">
                  <a:lumMod val="20000"/>
                  <a:lumOff val="80000"/>
                </a:schemeClr>
              </a:solidFill>
              <a:effectLst/>
              <a:latin typeface="+mn-lt"/>
              <a:ea typeface="+mn-ea"/>
              <a:cs typeface="+mn-cs"/>
            </a:rPr>
            <a:t>▲</a:t>
          </a:r>
          <a:r>
            <a:rPr lang="en-IN" sz="1250" b="1">
              <a:solidFill>
                <a:schemeClr val="accent2">
                  <a:lumMod val="20000"/>
                  <a:lumOff val="80000"/>
                </a:schemeClr>
              </a:solidFill>
            </a:rPr>
            <a:t> </a:t>
          </a:r>
          <a:r>
            <a:rPr lang="en-IN" sz="1250">
              <a:solidFill>
                <a:schemeClr val="accent2">
                  <a:lumMod val="20000"/>
                  <a:lumOff val="80000"/>
                </a:schemeClr>
              </a:solidFill>
            </a:rPr>
            <a:t>🏥</a:t>
          </a:r>
          <a:endParaRPr lang="en-IN" sz="1250" b="1">
            <a:solidFill>
              <a:schemeClr val="accent2">
                <a:lumMod val="20000"/>
                <a:lumOff val="80000"/>
              </a:schemeClr>
            </a:solidFill>
          </a:endParaRPr>
        </a:p>
      </xdr:txBody>
    </xdr:sp>
    <xdr:clientData/>
  </xdr:twoCellAnchor>
  <xdr:twoCellAnchor>
    <xdr:from>
      <xdr:col>7</xdr:col>
      <xdr:colOff>391405</xdr:colOff>
      <xdr:row>13</xdr:row>
      <xdr:rowOff>150866</xdr:rowOff>
    </xdr:from>
    <xdr:to>
      <xdr:col>14</xdr:col>
      <xdr:colOff>33891</xdr:colOff>
      <xdr:row>16</xdr:row>
      <xdr:rowOff>42424</xdr:rowOff>
    </xdr:to>
    <xdr:sp macro="" textlink="">
      <xdr:nvSpPr>
        <xdr:cNvPr id="25" name="TextBox 24">
          <a:extLst>
            <a:ext uri="{FF2B5EF4-FFF2-40B4-BE49-F238E27FC236}">
              <a16:creationId xmlns:a16="http://schemas.microsoft.com/office/drawing/2014/main" id="{56B960DF-9D3E-9C52-DC85-4E495BEA2382}"/>
            </a:ext>
          </a:extLst>
        </xdr:cNvPr>
        <xdr:cNvSpPr txBox="1"/>
      </xdr:nvSpPr>
      <xdr:spPr>
        <a:xfrm>
          <a:off x="4648588" y="2699810"/>
          <a:ext cx="3899669" cy="4550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Cases surged rapidly after March.</a:t>
          </a:r>
        </a:p>
      </xdr:txBody>
    </xdr:sp>
    <xdr:clientData/>
  </xdr:twoCellAnchor>
  <xdr:twoCellAnchor>
    <xdr:from>
      <xdr:col>14</xdr:col>
      <xdr:colOff>298672</xdr:colOff>
      <xdr:row>13</xdr:row>
      <xdr:rowOff>88259</xdr:rowOff>
    </xdr:from>
    <xdr:to>
      <xdr:col>20</xdr:col>
      <xdr:colOff>357748</xdr:colOff>
      <xdr:row>15</xdr:row>
      <xdr:rowOff>155101</xdr:rowOff>
    </xdr:to>
    <xdr:sp macro="" textlink="">
      <xdr:nvSpPr>
        <xdr:cNvPr id="26" name="TextBox 25">
          <a:extLst>
            <a:ext uri="{FF2B5EF4-FFF2-40B4-BE49-F238E27FC236}">
              <a16:creationId xmlns:a16="http://schemas.microsoft.com/office/drawing/2014/main" id="{720B1840-ED61-B3A9-7958-AAE69BF80911}"/>
            </a:ext>
          </a:extLst>
        </xdr:cNvPr>
        <xdr:cNvSpPr txBox="1"/>
      </xdr:nvSpPr>
      <xdr:spPr>
        <a:xfrm>
          <a:off x="8813038" y="2637203"/>
          <a:ext cx="3708090" cy="442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50">
              <a:latin typeface="Cambria" panose="02040503050406030204" pitchFamily="18" charset="0"/>
              <a:ea typeface="Cambria" panose="02040503050406030204" pitchFamily="18" charset="0"/>
            </a:rPr>
            <a:t>🌍 </a:t>
          </a:r>
          <a:r>
            <a:rPr lang="en-IN" sz="1450" b="1">
              <a:latin typeface="Cambria" panose="02040503050406030204" pitchFamily="18" charset="0"/>
              <a:ea typeface="Cambria" panose="02040503050406030204" pitchFamily="18" charset="0"/>
            </a:rPr>
            <a:t>Spread reached nearly 200 countries.</a:t>
          </a:r>
        </a:p>
      </xdr:txBody>
    </xdr:sp>
    <xdr:clientData/>
  </xdr:twoCellAnchor>
  <xdr:twoCellAnchor>
    <xdr:from>
      <xdr:col>21</xdr:col>
      <xdr:colOff>181108</xdr:colOff>
      <xdr:row>13</xdr:row>
      <xdr:rowOff>103910</xdr:rowOff>
    </xdr:from>
    <xdr:to>
      <xdr:col>26</xdr:col>
      <xdr:colOff>329738</xdr:colOff>
      <xdr:row>16</xdr:row>
      <xdr:rowOff>37069</xdr:rowOff>
    </xdr:to>
    <xdr:sp macro="" textlink="">
      <xdr:nvSpPr>
        <xdr:cNvPr id="27" name="TextBox 26">
          <a:extLst>
            <a:ext uri="{FF2B5EF4-FFF2-40B4-BE49-F238E27FC236}">
              <a16:creationId xmlns:a16="http://schemas.microsoft.com/office/drawing/2014/main" id="{83966C88-529E-5AA5-6E0B-AB2060111C16}"/>
            </a:ext>
          </a:extLst>
        </xdr:cNvPr>
        <xdr:cNvSpPr txBox="1"/>
      </xdr:nvSpPr>
      <xdr:spPr>
        <a:xfrm>
          <a:off x="12952657" y="2652854"/>
          <a:ext cx="3189475" cy="496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Active cases peaked in July.</a:t>
          </a:r>
        </a:p>
      </xdr:txBody>
    </xdr:sp>
    <xdr:clientData/>
  </xdr:twoCellAnchor>
  <xdr:twoCellAnchor>
    <xdr:from>
      <xdr:col>7</xdr:col>
      <xdr:colOff>233359</xdr:colOff>
      <xdr:row>28</xdr:row>
      <xdr:rowOff>82963</xdr:rowOff>
    </xdr:from>
    <xdr:to>
      <xdr:col>13</xdr:col>
      <xdr:colOff>525792</xdr:colOff>
      <xdr:row>30</xdr:row>
      <xdr:rowOff>141452</xdr:rowOff>
    </xdr:to>
    <xdr:sp macro="" textlink="">
      <xdr:nvSpPr>
        <xdr:cNvPr id="28" name="TextBox 27">
          <a:extLst>
            <a:ext uri="{FF2B5EF4-FFF2-40B4-BE49-F238E27FC236}">
              <a16:creationId xmlns:a16="http://schemas.microsoft.com/office/drawing/2014/main" id="{8EAFCB46-3012-B72C-D9E5-0B37518559B5}"/>
            </a:ext>
          </a:extLst>
        </xdr:cNvPr>
        <xdr:cNvSpPr txBox="1"/>
      </xdr:nvSpPr>
      <xdr:spPr>
        <a:xfrm>
          <a:off x="4490542" y="5449160"/>
          <a:ext cx="3941447" cy="4341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Recoveries grew faster than deaths.</a:t>
          </a:r>
        </a:p>
      </xdr:txBody>
    </xdr:sp>
    <xdr:clientData/>
  </xdr:twoCellAnchor>
  <xdr:twoCellAnchor>
    <xdr:from>
      <xdr:col>14</xdr:col>
      <xdr:colOff>523439</xdr:colOff>
      <xdr:row>28</xdr:row>
      <xdr:rowOff>95426</xdr:rowOff>
    </xdr:from>
    <xdr:to>
      <xdr:col>20</xdr:col>
      <xdr:colOff>125211</xdr:colOff>
      <xdr:row>30</xdr:row>
      <xdr:rowOff>44719</xdr:rowOff>
    </xdr:to>
    <xdr:sp macro="" textlink="">
      <xdr:nvSpPr>
        <xdr:cNvPr id="29" name="TextBox 28">
          <a:extLst>
            <a:ext uri="{FF2B5EF4-FFF2-40B4-BE49-F238E27FC236}">
              <a16:creationId xmlns:a16="http://schemas.microsoft.com/office/drawing/2014/main" id="{4B929368-4516-B6C9-D150-4CA2CE580799}"/>
            </a:ext>
          </a:extLst>
        </xdr:cNvPr>
        <xdr:cNvSpPr txBox="1"/>
      </xdr:nvSpPr>
      <xdr:spPr>
        <a:xfrm>
          <a:off x="9037805" y="5461623"/>
          <a:ext cx="3250786" cy="324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Recovery up, mortality down</a:t>
          </a:r>
        </a:p>
      </xdr:txBody>
    </xdr:sp>
    <xdr:clientData/>
  </xdr:twoCellAnchor>
  <xdr:twoCellAnchor>
    <xdr:from>
      <xdr:col>20</xdr:col>
      <xdr:colOff>573453</xdr:colOff>
      <xdr:row>28</xdr:row>
      <xdr:rowOff>74608</xdr:rowOff>
    </xdr:from>
    <xdr:to>
      <xdr:col>27</xdr:col>
      <xdr:colOff>241252</xdr:colOff>
      <xdr:row>30</xdr:row>
      <xdr:rowOff>116385</xdr:rowOff>
    </xdr:to>
    <xdr:sp macro="" textlink="">
      <xdr:nvSpPr>
        <xdr:cNvPr id="30" name="TextBox 29">
          <a:extLst>
            <a:ext uri="{FF2B5EF4-FFF2-40B4-BE49-F238E27FC236}">
              <a16:creationId xmlns:a16="http://schemas.microsoft.com/office/drawing/2014/main" id="{2D2EB016-7422-628A-8590-54556B4C67C5}"/>
            </a:ext>
          </a:extLst>
        </xdr:cNvPr>
        <xdr:cNvSpPr txBox="1"/>
      </xdr:nvSpPr>
      <xdr:spPr>
        <a:xfrm>
          <a:off x="12736833" y="5440805"/>
          <a:ext cx="3924982" cy="4174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Cambria" panose="02040503050406030204" pitchFamily="18" charset="0"/>
              <a:ea typeface="Cambria" panose="02040503050406030204" pitchFamily="18" charset="0"/>
            </a:rPr>
            <a:t>📉 </a:t>
          </a:r>
          <a:r>
            <a:rPr lang="en-IN" sz="1600" b="1">
              <a:latin typeface="Cambria" panose="02040503050406030204" pitchFamily="18" charset="0"/>
              <a:ea typeface="Cambria" panose="02040503050406030204" pitchFamily="18" charset="0"/>
            </a:rPr>
            <a:t>Growth rate declined steadily.</a:t>
          </a:r>
        </a:p>
      </xdr:txBody>
    </xdr:sp>
    <xdr:clientData/>
  </xdr:twoCellAnchor>
  <xdr:twoCellAnchor>
    <xdr:from>
      <xdr:col>0</xdr:col>
      <xdr:colOff>474944</xdr:colOff>
      <xdr:row>1</xdr:row>
      <xdr:rowOff>112131</xdr:rowOff>
    </xdr:from>
    <xdr:to>
      <xdr:col>2</xdr:col>
      <xdr:colOff>362413</xdr:colOff>
      <xdr:row>3</xdr:row>
      <xdr:rowOff>71940</xdr:rowOff>
    </xdr:to>
    <xdr:sp macro="" textlink="'day_wise - raw data'!N2">
      <xdr:nvSpPr>
        <xdr:cNvPr id="34" name="TextBox 33">
          <a:extLst>
            <a:ext uri="{FF2B5EF4-FFF2-40B4-BE49-F238E27FC236}">
              <a16:creationId xmlns:a16="http://schemas.microsoft.com/office/drawing/2014/main" id="{7A82AFB0-7D82-43B5-4378-AAF70ABF7C46}"/>
            </a:ext>
          </a:extLst>
        </xdr:cNvPr>
        <xdr:cNvSpPr txBox="1"/>
      </xdr:nvSpPr>
      <xdr:spPr>
        <a:xfrm>
          <a:off x="474944" y="413756"/>
          <a:ext cx="1109844" cy="32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E5FC5-A32A-4A20-9857-EF6085E8633F}" type="TxLink">
            <a:rPr lang="en-US" sz="1800" b="1" i="0" u="none" strike="noStrike">
              <a:solidFill>
                <a:schemeClr val="accent6">
                  <a:lumMod val="20000"/>
                  <a:lumOff val="80000"/>
                </a:schemeClr>
              </a:solidFill>
              <a:latin typeface="Aptos Narrow"/>
            </a:rPr>
            <a:pPr/>
            <a:t>9.47 M</a:t>
          </a:fld>
          <a:endParaRPr lang="en-IN" sz="1800" b="1">
            <a:solidFill>
              <a:schemeClr val="accent6">
                <a:lumMod val="20000"/>
                <a:lumOff val="8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420353</xdr:colOff>
          <xdr:row>8</xdr:row>
          <xdr:rowOff>179852</xdr:rowOff>
        </xdr:from>
        <xdr:to>
          <xdr:col>3</xdr:col>
          <xdr:colOff>107323</xdr:colOff>
          <xdr:row>12</xdr:row>
          <xdr:rowOff>88894</xdr:rowOff>
        </xdr:to>
        <xdr:pic>
          <xdr:nvPicPr>
            <xdr:cNvPr id="6" name="Picture 5">
              <a:extLst>
                <a:ext uri="{FF2B5EF4-FFF2-40B4-BE49-F238E27FC236}">
                  <a16:creationId xmlns:a16="http://schemas.microsoft.com/office/drawing/2014/main" id="{529BAA3C-7EE0-89E6-D052-C19BC2E7574B}"/>
                </a:ext>
              </a:extLst>
            </xdr:cNvPr>
            <xdr:cNvPicPr>
              <a:picLocks noChangeAspect="1" noChangeArrowheads="1"/>
              <a:extLst>
                <a:ext uri="{84589F7E-364E-4C9E-8A38-B11213B215E9}">
                  <a14:cameraTool cellRange="'Pivot Table 1 - 2'!$F$13" spid="_x0000_s2244"/>
                </a:ext>
              </a:extLst>
            </xdr:cNvPicPr>
          </xdr:nvPicPr>
          <xdr:blipFill rotWithShape="1">
            <a:blip xmlns:r="http://schemas.openxmlformats.org/officeDocument/2006/relationships" r:embed="rId1"/>
            <a:srcRect l="1738" t="13365" r="3662" b="8947"/>
            <a:stretch>
              <a:fillRect/>
            </a:stretch>
          </xdr:blipFill>
          <xdr:spPr bwMode="auto">
            <a:xfrm>
              <a:off x="420353" y="1789711"/>
              <a:ext cx="1511477" cy="66031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388693</xdr:colOff>
          <xdr:row>3</xdr:row>
          <xdr:rowOff>1</xdr:rowOff>
        </xdr:from>
        <xdr:to>
          <xdr:col>6</xdr:col>
          <xdr:colOff>160986</xdr:colOff>
          <xdr:row>6</xdr:row>
          <xdr:rowOff>17889</xdr:rowOff>
        </xdr:to>
        <xdr:pic>
          <xdr:nvPicPr>
            <xdr:cNvPr id="7" name="Picture 6">
              <a:extLst>
                <a:ext uri="{FF2B5EF4-FFF2-40B4-BE49-F238E27FC236}">
                  <a16:creationId xmlns:a16="http://schemas.microsoft.com/office/drawing/2014/main" id="{41041ECA-E57A-B916-0359-D958E6368FD2}"/>
                </a:ext>
              </a:extLst>
            </xdr:cNvPr>
            <xdr:cNvPicPr>
              <a:picLocks noChangeAspect="1" noChangeArrowheads="1"/>
              <a:extLst>
                <a:ext uri="{84589F7E-364E-4C9E-8A38-B11213B215E9}">
                  <a14:cameraTool cellRange="'Pivot Table 1 - 2'!$F$12" spid="_x0000_s2245"/>
                </a:ext>
              </a:extLst>
            </xdr:cNvPicPr>
          </xdr:nvPicPr>
          <xdr:blipFill rotWithShape="1">
            <a:blip xmlns:r="http://schemas.openxmlformats.org/officeDocument/2006/relationships" r:embed="rId2"/>
            <a:srcRect l="2347" t="12421" r="3518" b="10389"/>
            <a:stretch>
              <a:fillRect/>
            </a:stretch>
          </xdr:blipFill>
          <xdr:spPr bwMode="auto">
            <a:xfrm>
              <a:off x="2213200" y="670776"/>
              <a:ext cx="1596800" cy="58133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384578</xdr:colOff>
          <xdr:row>8</xdr:row>
          <xdr:rowOff>134154</xdr:rowOff>
        </xdr:from>
        <xdr:to>
          <xdr:col>6</xdr:col>
          <xdr:colOff>98380</xdr:colOff>
          <xdr:row>12</xdr:row>
          <xdr:rowOff>116267</xdr:rowOff>
        </xdr:to>
        <xdr:pic>
          <xdr:nvPicPr>
            <xdr:cNvPr id="8" name="Picture 7">
              <a:extLst>
                <a:ext uri="{FF2B5EF4-FFF2-40B4-BE49-F238E27FC236}">
                  <a16:creationId xmlns:a16="http://schemas.microsoft.com/office/drawing/2014/main" id="{1DBE7087-F5B1-72A6-AE1B-6DB89AD6D082}"/>
                </a:ext>
              </a:extLst>
            </xdr:cNvPr>
            <xdr:cNvPicPr>
              <a:picLocks noChangeAspect="1" noChangeArrowheads="1"/>
              <a:extLst>
                <a:ext uri="{84589F7E-364E-4C9E-8A38-B11213B215E9}">
                  <a14:cameraTool cellRange="'Pivot Table 1 - 2'!$F$11" spid="_x0000_s2246"/>
                </a:ext>
              </a:extLst>
            </xdr:cNvPicPr>
          </xdr:nvPicPr>
          <xdr:blipFill rotWithShape="1">
            <a:blip xmlns:r="http://schemas.openxmlformats.org/officeDocument/2006/relationships" r:embed="rId3"/>
            <a:srcRect l="2799" t="9952" r="3519" b="9952"/>
            <a:stretch>
              <a:fillRect/>
            </a:stretch>
          </xdr:blipFill>
          <xdr:spPr bwMode="auto">
            <a:xfrm>
              <a:off x="2209085" y="1744013"/>
              <a:ext cx="1538309" cy="73338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456127</xdr:colOff>
          <xdr:row>1</xdr:row>
          <xdr:rowOff>125210</xdr:rowOff>
        </xdr:from>
        <xdr:to>
          <xdr:col>3</xdr:col>
          <xdr:colOff>98380</xdr:colOff>
          <xdr:row>5</xdr:row>
          <xdr:rowOff>116268</xdr:rowOff>
        </xdr:to>
        <xdr:pic>
          <xdr:nvPicPr>
            <xdr:cNvPr id="9" name="Picture 8">
              <a:extLst>
                <a:ext uri="{FF2B5EF4-FFF2-40B4-BE49-F238E27FC236}">
                  <a16:creationId xmlns:a16="http://schemas.microsoft.com/office/drawing/2014/main" id="{E99056C3-83F7-D2DB-15C5-670EF2335EE0}"/>
                </a:ext>
              </a:extLst>
            </xdr:cNvPr>
            <xdr:cNvPicPr>
              <a:picLocks noChangeAspect="1" noChangeArrowheads="1"/>
              <a:extLst>
                <a:ext uri="{84589F7E-364E-4C9E-8A38-B11213B215E9}">
                  <a14:cameraTool cellRange="'Pivot Table 1 - 2'!$F$10" spid="_x0000_s2247"/>
                </a:ext>
              </a:extLst>
            </xdr:cNvPicPr>
          </xdr:nvPicPr>
          <xdr:blipFill rotWithShape="1">
            <a:blip xmlns:r="http://schemas.openxmlformats.org/officeDocument/2006/relationships" r:embed="rId4"/>
            <a:srcRect l="5070" t="11382" r="2563" b="10569"/>
            <a:stretch>
              <a:fillRect/>
            </a:stretch>
          </xdr:blipFill>
          <xdr:spPr bwMode="auto">
            <a:xfrm>
              <a:off x="456127" y="420351"/>
              <a:ext cx="1466760" cy="7423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384578</xdr:colOff>
      <xdr:row>1</xdr:row>
      <xdr:rowOff>8944</xdr:rowOff>
    </xdr:from>
    <xdr:to>
      <xdr:col>14</xdr:col>
      <xdr:colOff>14863</xdr:colOff>
      <xdr:row>13</xdr:row>
      <xdr:rowOff>123040</xdr:rowOff>
    </xdr:to>
    <xdr:graphicFrame macro="">
      <xdr:nvGraphicFramePr>
        <xdr:cNvPr id="10" name="Chart 9">
          <a:extLst>
            <a:ext uri="{FF2B5EF4-FFF2-40B4-BE49-F238E27FC236}">
              <a16:creationId xmlns:a16="http://schemas.microsoft.com/office/drawing/2014/main" id="{79F60BC3-E4F2-47E0-AB35-8C73AB801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375634</xdr:colOff>
      <xdr:row>16</xdr:row>
      <xdr:rowOff>0</xdr:rowOff>
    </xdr:from>
    <xdr:to>
      <xdr:col>14</xdr:col>
      <xdr:colOff>17154</xdr:colOff>
      <xdr:row>28</xdr:row>
      <xdr:rowOff>44718</xdr:rowOff>
    </xdr:to>
    <xdr:graphicFrame macro="">
      <xdr:nvGraphicFramePr>
        <xdr:cNvPr id="11" name="Chart 10">
          <a:extLst>
            <a:ext uri="{FF2B5EF4-FFF2-40B4-BE49-F238E27FC236}">
              <a16:creationId xmlns:a16="http://schemas.microsoft.com/office/drawing/2014/main" id="{4FA95F2A-BF47-474E-96F7-31C869A85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71550</xdr:colOff>
      <xdr:row>15</xdr:row>
      <xdr:rowOff>125212</xdr:rowOff>
    </xdr:from>
    <xdr:to>
      <xdr:col>20</xdr:col>
      <xdr:colOff>438240</xdr:colOff>
      <xdr:row>28</xdr:row>
      <xdr:rowOff>45792</xdr:rowOff>
    </xdr:to>
    <xdr:graphicFrame macro="">
      <xdr:nvGraphicFramePr>
        <xdr:cNvPr id="14" name="Chart 13">
          <a:extLst>
            <a:ext uri="{FF2B5EF4-FFF2-40B4-BE49-F238E27FC236}">
              <a16:creationId xmlns:a16="http://schemas.microsoft.com/office/drawing/2014/main" id="{A05D9F9A-6C8A-4EDE-AF1E-837116BDF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152041</xdr:colOff>
      <xdr:row>1</xdr:row>
      <xdr:rowOff>8944</xdr:rowOff>
    </xdr:from>
    <xdr:to>
      <xdr:col>20</xdr:col>
      <xdr:colOff>393520</xdr:colOff>
      <xdr:row>13</xdr:row>
      <xdr:rowOff>134155</xdr:rowOff>
    </xdr:to>
    <xdr:graphicFrame macro="">
      <xdr:nvGraphicFramePr>
        <xdr:cNvPr id="15" name="Chart 14">
          <a:extLst>
            <a:ext uri="{FF2B5EF4-FFF2-40B4-BE49-F238E27FC236}">
              <a16:creationId xmlns:a16="http://schemas.microsoft.com/office/drawing/2014/main" id="{AEA63520-612A-4452-A38C-B0038B3A4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500673</xdr:colOff>
      <xdr:row>1</xdr:row>
      <xdr:rowOff>24423</xdr:rowOff>
    </xdr:from>
    <xdr:to>
      <xdr:col>27</xdr:col>
      <xdr:colOff>0</xdr:colOff>
      <xdr:row>13</xdr:row>
      <xdr:rowOff>146538</xdr:rowOff>
    </xdr:to>
    <xdr:graphicFrame macro="">
      <xdr:nvGraphicFramePr>
        <xdr:cNvPr id="17" name="Chart 16">
          <a:extLst>
            <a:ext uri="{FF2B5EF4-FFF2-40B4-BE49-F238E27FC236}">
              <a16:creationId xmlns:a16="http://schemas.microsoft.com/office/drawing/2014/main" id="{7D895B12-CF49-4B3B-986D-6FD5A6F31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500673</xdr:colOff>
      <xdr:row>15</xdr:row>
      <xdr:rowOff>158750</xdr:rowOff>
    </xdr:from>
    <xdr:to>
      <xdr:col>27</xdr:col>
      <xdr:colOff>48846</xdr:colOff>
      <xdr:row>28</xdr:row>
      <xdr:rowOff>73269</xdr:rowOff>
    </xdr:to>
    <xdr:graphicFrame macro="">
      <xdr:nvGraphicFramePr>
        <xdr:cNvPr id="21" name="Chart 20">
          <a:extLst>
            <a:ext uri="{FF2B5EF4-FFF2-40B4-BE49-F238E27FC236}">
              <a16:creationId xmlns:a16="http://schemas.microsoft.com/office/drawing/2014/main" id="{4CD4B08F-0BFC-4DCC-AAA6-8F80B2DD5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375633</xdr:colOff>
      <xdr:row>15</xdr:row>
      <xdr:rowOff>44718</xdr:rowOff>
    </xdr:from>
    <xdr:to>
      <xdr:col>6</xdr:col>
      <xdr:colOff>35774</xdr:colOff>
      <xdr:row>27</xdr:row>
      <xdr:rowOff>160986</xdr:rowOff>
    </xdr:to>
    <mc:AlternateContent xmlns:mc="http://schemas.openxmlformats.org/markup-compatibility/2006" xmlns:a14="http://schemas.microsoft.com/office/drawing/2010/main">
      <mc:Choice Requires="a14">
        <xdr:graphicFrame macro="">
          <xdr:nvGraphicFramePr>
            <xdr:cNvPr id="22" name="Date (Month) 2">
              <a:extLst>
                <a:ext uri="{FF2B5EF4-FFF2-40B4-BE49-F238E27FC236}">
                  <a16:creationId xmlns:a16="http://schemas.microsoft.com/office/drawing/2014/main" id="{2C6B812F-5149-4957-8627-AAD51AEE14A5}"/>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375633" y="2969295"/>
              <a:ext cx="3309155" cy="2370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22225</xdr:colOff>
      <xdr:row>10</xdr:row>
      <xdr:rowOff>82550</xdr:rowOff>
    </xdr:from>
    <xdr:to>
      <xdr:col>5</xdr:col>
      <xdr:colOff>15875</xdr:colOff>
      <xdr:row>23</xdr:row>
      <xdr:rowOff>16282</xdr:rowOff>
    </xdr:to>
    <xdr:graphicFrame macro="">
      <xdr:nvGraphicFramePr>
        <xdr:cNvPr id="2" name="Chart 1">
          <a:extLst>
            <a:ext uri="{FF2B5EF4-FFF2-40B4-BE49-F238E27FC236}">
              <a16:creationId xmlns:a16="http://schemas.microsoft.com/office/drawing/2014/main" id="{B10A4E61-DDA2-9FD1-9EC0-9405E6049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396957</xdr:colOff>
      <xdr:row>23</xdr:row>
      <xdr:rowOff>119509</xdr:rowOff>
    </xdr:from>
    <xdr:to>
      <xdr:col>3</xdr:col>
      <xdr:colOff>353321</xdr:colOff>
      <xdr:row>37</xdr:row>
      <xdr:rowOff>117471</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ECD17568-37DE-E2AE-3FCD-8DB8C2BB270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29649" y="442611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1218711</xdr:colOff>
      <xdr:row>10</xdr:row>
      <xdr:rowOff>49008</xdr:rowOff>
    </xdr:from>
    <xdr:to>
      <xdr:col>11</xdr:col>
      <xdr:colOff>637442</xdr:colOff>
      <xdr:row>24</xdr:row>
      <xdr:rowOff>170798</xdr:rowOff>
    </xdr:to>
    <xdr:graphicFrame macro="">
      <xdr:nvGraphicFramePr>
        <xdr:cNvPr id="4" name="Chart 3">
          <a:extLst>
            <a:ext uri="{FF2B5EF4-FFF2-40B4-BE49-F238E27FC236}">
              <a16:creationId xmlns:a16="http://schemas.microsoft.com/office/drawing/2014/main" id="{500B631E-15B1-A3A8-D697-D1F6B9DFB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14328</xdr:colOff>
      <xdr:row>10</xdr:row>
      <xdr:rowOff>48032</xdr:rowOff>
    </xdr:from>
    <xdr:to>
      <xdr:col>14</xdr:col>
      <xdr:colOff>426589</xdr:colOff>
      <xdr:row>24</xdr:row>
      <xdr:rowOff>45994</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F963B972-6345-F4B5-0BE9-6104977757F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312725" y="1920468"/>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51229</xdr:rowOff>
    </xdr:from>
    <xdr:to>
      <xdr:col>3</xdr:col>
      <xdr:colOff>1320271</xdr:colOff>
      <xdr:row>27</xdr:row>
      <xdr:rowOff>20083</xdr:rowOff>
    </xdr:to>
    <xdr:graphicFrame macro="">
      <xdr:nvGraphicFramePr>
        <xdr:cNvPr id="14" name="Chart 13">
          <a:extLst>
            <a:ext uri="{FF2B5EF4-FFF2-40B4-BE49-F238E27FC236}">
              <a16:creationId xmlns:a16="http://schemas.microsoft.com/office/drawing/2014/main" id="{3736C4CC-38D5-1A5C-C78D-4B90F191A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18142</xdr:colOff>
      <xdr:row>12</xdr:row>
      <xdr:rowOff>34490</xdr:rowOff>
    </xdr:from>
    <xdr:to>
      <xdr:col>10</xdr:col>
      <xdr:colOff>1360714</xdr:colOff>
      <xdr:row>27</xdr:row>
      <xdr:rowOff>56262</xdr:rowOff>
    </xdr:to>
    <xdr:graphicFrame macro="">
      <xdr:nvGraphicFramePr>
        <xdr:cNvPr id="18" name="Chart 17">
          <a:extLst>
            <a:ext uri="{FF2B5EF4-FFF2-40B4-BE49-F238E27FC236}">
              <a16:creationId xmlns:a16="http://schemas.microsoft.com/office/drawing/2014/main" id="{6512C389-85B8-847B-1291-048EE6154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11</xdr:row>
      <xdr:rowOff>44478</xdr:rowOff>
    </xdr:from>
    <xdr:to>
      <xdr:col>10</xdr:col>
      <xdr:colOff>0</xdr:colOff>
      <xdr:row>26</xdr:row>
      <xdr:rowOff>17639</xdr:rowOff>
    </xdr:to>
    <xdr:graphicFrame macro="">
      <xdr:nvGraphicFramePr>
        <xdr:cNvPr id="8" name="Chart 7">
          <a:extLst>
            <a:ext uri="{FF2B5EF4-FFF2-40B4-BE49-F238E27FC236}">
              <a16:creationId xmlns:a16="http://schemas.microsoft.com/office/drawing/2014/main" id="{0D6B1F50-F5C9-8760-25C6-A283175F2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0</xdr:rowOff>
    </xdr:from>
    <xdr:to>
      <xdr:col>5</xdr:col>
      <xdr:colOff>404812</xdr:colOff>
      <xdr:row>26</xdr:row>
      <xdr:rowOff>4763</xdr:rowOff>
    </xdr:to>
    <xdr:graphicFrame macro="">
      <xdr:nvGraphicFramePr>
        <xdr:cNvPr id="10" name="Chart 9">
          <a:extLst>
            <a:ext uri="{FF2B5EF4-FFF2-40B4-BE49-F238E27FC236}">
              <a16:creationId xmlns:a16="http://schemas.microsoft.com/office/drawing/2014/main" id="{5717A167-3E07-4F3C-BE26-13EA80BC1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478895</xdr:colOff>
      <xdr:row>27</xdr:row>
      <xdr:rowOff>114477</xdr:rowOff>
    </xdr:from>
    <xdr:to>
      <xdr:col>7</xdr:col>
      <xdr:colOff>1699506</xdr:colOff>
      <xdr:row>42</xdr:row>
      <xdr:rowOff>79552</xdr:rowOff>
    </xdr:to>
    <xdr:graphicFrame macro="">
      <xdr:nvGraphicFramePr>
        <xdr:cNvPr id="2" name="Chart 1">
          <a:extLst>
            <a:ext uri="{FF2B5EF4-FFF2-40B4-BE49-F238E27FC236}">
              <a16:creationId xmlns:a16="http://schemas.microsoft.com/office/drawing/2014/main" id="{1EBC3878-CD32-4B29-18C0-A9B764246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66675</xdr:rowOff>
    </xdr:from>
    <xdr:to>
      <xdr:col>4</xdr:col>
      <xdr:colOff>133350</xdr:colOff>
      <xdr:row>20</xdr:row>
      <xdr:rowOff>133350</xdr:rowOff>
    </xdr:to>
    <xdr:graphicFrame macro="">
      <xdr:nvGraphicFramePr>
        <xdr:cNvPr id="2" name="Chart 1">
          <a:extLst>
            <a:ext uri="{FF2B5EF4-FFF2-40B4-BE49-F238E27FC236}">
              <a16:creationId xmlns:a16="http://schemas.microsoft.com/office/drawing/2014/main" id="{F30E4F77-E5A9-EBB8-3104-5E029B6B4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317500</xdr:colOff>
      <xdr:row>9</xdr:row>
      <xdr:rowOff>107950</xdr:rowOff>
    </xdr:from>
    <xdr:to>
      <xdr:col>8</xdr:col>
      <xdr:colOff>838200</xdr:colOff>
      <xdr:row>22</xdr:row>
      <xdr:rowOff>76200</xdr:rowOff>
    </xdr:to>
    <xdr:graphicFrame macro="">
      <xdr:nvGraphicFramePr>
        <xdr:cNvPr id="3" name="Chart 2">
          <a:extLst>
            <a:ext uri="{FF2B5EF4-FFF2-40B4-BE49-F238E27FC236}">
              <a16:creationId xmlns:a16="http://schemas.microsoft.com/office/drawing/2014/main" id="{5CF76058-038C-DB67-7669-C9F3F22D7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178874</xdr:rowOff>
    </xdr:from>
    <xdr:to>
      <xdr:col>6</xdr:col>
      <xdr:colOff>393521</xdr:colOff>
      <xdr:row>28</xdr:row>
      <xdr:rowOff>80435</xdr:rowOff>
    </xdr:to>
    <xdr:graphicFrame macro="">
      <xdr:nvGraphicFramePr>
        <xdr:cNvPr id="8" name="Chart 7">
          <a:extLst>
            <a:ext uri="{FF2B5EF4-FFF2-40B4-BE49-F238E27FC236}">
              <a16:creationId xmlns:a16="http://schemas.microsoft.com/office/drawing/2014/main" id="{B9B332AC-3A0B-093F-0E3E-4E6F78787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603251</xdr:colOff>
      <xdr:row>23</xdr:row>
      <xdr:rowOff>57150</xdr:rowOff>
    </xdr:from>
    <xdr:to>
      <xdr:col>13</xdr:col>
      <xdr:colOff>313028</xdr:colOff>
      <xdr:row>38</xdr:row>
      <xdr:rowOff>101600</xdr:rowOff>
    </xdr:to>
    <xdr:graphicFrame macro="">
      <xdr:nvGraphicFramePr>
        <xdr:cNvPr id="12" name="Chart 11">
          <a:extLst>
            <a:ext uri="{FF2B5EF4-FFF2-40B4-BE49-F238E27FC236}">
              <a16:creationId xmlns:a16="http://schemas.microsoft.com/office/drawing/2014/main" id="{C09E0F2F-B39B-D3E3-6CCE-B03B41099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57150</xdr:rowOff>
    </xdr:from>
    <xdr:to>
      <xdr:col>4</xdr:col>
      <xdr:colOff>304800</xdr:colOff>
      <xdr:row>25</xdr:row>
      <xdr:rowOff>38100</xdr:rowOff>
    </xdr:to>
    <xdr:graphicFrame macro="">
      <xdr:nvGraphicFramePr>
        <xdr:cNvPr id="2" name="Chart 1">
          <a:extLst>
            <a:ext uri="{FF2B5EF4-FFF2-40B4-BE49-F238E27FC236}">
              <a16:creationId xmlns:a16="http://schemas.microsoft.com/office/drawing/2014/main" id="{11952970-AD2F-F8AD-AE96-6619D69CA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577850</xdr:colOff>
      <xdr:row>11</xdr:row>
      <xdr:rowOff>95250</xdr:rowOff>
    </xdr:from>
    <xdr:to>
      <xdr:col>8</xdr:col>
      <xdr:colOff>889000</xdr:colOff>
      <xdr:row>26</xdr:row>
      <xdr:rowOff>76200</xdr:rowOff>
    </xdr:to>
    <xdr:graphicFrame macro="">
      <xdr:nvGraphicFramePr>
        <xdr:cNvPr id="3" name="Chart 2">
          <a:extLst>
            <a:ext uri="{FF2B5EF4-FFF2-40B4-BE49-F238E27FC236}">
              <a16:creationId xmlns:a16="http://schemas.microsoft.com/office/drawing/2014/main" id="{46E2448A-E029-E893-5513-0344C2E40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11</xdr:row>
      <xdr:rowOff>183814</xdr:rowOff>
    </xdr:from>
    <xdr:to>
      <xdr:col>4</xdr:col>
      <xdr:colOff>133205</xdr:colOff>
      <xdr:row>15</xdr:row>
      <xdr:rowOff>8354</xdr:rowOff>
    </xdr:to>
    <xdr:pic>
      <xdr:nvPicPr>
        <xdr:cNvPr id="2" name="Picture 1">
          <a:extLst>
            <a:ext uri="{FF2B5EF4-FFF2-40B4-BE49-F238E27FC236}">
              <a16:creationId xmlns:a16="http://schemas.microsoft.com/office/drawing/2014/main" id="{AFCF05C8-0360-4CE2-B51D-FED97F73638D}"/>
            </a:ext>
          </a:extLst>
        </xdr:cNvPr>
        <xdr:cNvPicPr>
          <a:picLocks noChangeAspect="1"/>
        </xdr:cNvPicPr>
      </xdr:nvPicPr>
      <xdr:blipFill>
        <a:blip xmlns:r="http://schemas.openxmlformats.org/officeDocument/2006/relationships" r:embed="rId1"/>
        <a:stretch>
          <a:fillRect/>
        </a:stretch>
      </xdr:blipFill>
      <xdr:spPr>
        <a:xfrm>
          <a:off x="0" y="2205788"/>
          <a:ext cx="4687302" cy="55980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353130</xdr:colOff>
      <xdr:row>0</xdr:row>
      <xdr:rowOff>10584</xdr:rowOff>
    </xdr:from>
    <xdr:to>
      <xdr:col>20</xdr:col>
      <xdr:colOff>442735</xdr:colOff>
      <xdr:row>23</xdr:row>
      <xdr:rowOff>174978</xdr:rowOff>
    </xdr:to>
    <xdr:graphicFrame macro="">
      <xdr:nvGraphicFramePr>
        <xdr:cNvPr id="2" name="Chart 1">
          <a:extLst>
            <a:ext uri="{FF2B5EF4-FFF2-40B4-BE49-F238E27FC236}">
              <a16:creationId xmlns:a16="http://schemas.microsoft.com/office/drawing/2014/main" id="{26C00152-D5DE-443C-E2B9-3EFA7F416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mpy Bhardwaj" id="{F83799E1-FFAF-43F2-9F49-2EA3D599DD00}" userId="a1af4befbc9828c1" providerId="Windows Live"/>
</personList>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040171412038" backgroundQuery="1" createdVersion="8" refreshedVersion="8" minRefreshableVersion="3" recordCount="0" supportSubquery="1" supportAdvancedDrill="1" xr:uid="{190FB549-2528-409D-9EC2-186BA7A2C204}">
  <cacheSource type="external" connectionId="3"/>
  <cacheFields count="4">
    <cacheField name="[Range].[Date].[Date]" caption="Date" numFmtId="0" level="1">
      <sharedItems containsNonDate="0" containsDate="1" containsString="0" containsBlank="1" minDate="2020-01-22T00:00:00" maxDate="2020-07-28T00:00:00" count="189">
        <m/>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Range].[Date (Month)].[Date (Month)]" caption="Date (Month)" numFmtId="0" hierarchy="13" level="1">
      <sharedItems count="7">
        <s v="Jan"/>
        <s v="Feb"/>
        <s v="Mar"/>
        <s v="Apr"/>
        <s v="May"/>
        <s v="Jun"/>
        <s v="Jul"/>
      </sharedItems>
    </cacheField>
    <cacheField name="[Measures].[Average of Daily Growth %]" caption="Average of Daily Growth %" numFmtId="0" hierarchy="58" level="32767"/>
    <cacheField name="[Table3].[Date (Month)].[Date (Month)]" caption="Date (Month)" numFmtId="0" hierarchy="45" level="1">
      <sharedItems containsSemiMixedTypes="0" containsNonDate="0" containsString="0"/>
    </cacheField>
  </cacheFields>
  <cacheHierarchies count="82">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Confirmed Cases]" caption="Confirmed Cases" attribute="1" defaultMemberUniqueName="[Range].[Confirmed Cases].[All]" allUniqueName="[Range].[Confirmed Cases].[All]" dimensionUniqueName="[Range]" displayFolder="" count="0" memberValueDatatype="20" unbalanced="0"/>
    <cacheHierarchy uniqueName="[Range].[Total Deaths]" caption="Total Deaths" attribute="1" defaultMemberUniqueName="[Range].[Total Deaths].[All]" allUniqueName="[Range].[Total Deaths].[All]" dimensionUniqueName="[Range]" displayFolder="" count="0" memberValueDatatype="20" unbalanced="0"/>
    <cacheHierarchy uniqueName="[Range].[Total Recovered Cases]" caption="Total Recovered Cases" attribute="1" defaultMemberUniqueName="[Range].[Total Recovered Cases].[All]" allUniqueName="[Range].[Total Recovered Cases].[All]" dimensionUniqueName="[Range]" displayFolder="" count="0" memberValueDatatype="20" unbalanced="0"/>
    <cacheHierarchy uniqueName="[Range].[Active Cases]" caption="Active Cases" attribute="1" defaultMemberUniqueName="[Range].[Active Cases].[All]" allUniqueName="[Range].[Active Cases].[All]" dimensionUniqueName="[Range]" displayFolder="" count="0" memberValueDatatype="20" unbalanced="0"/>
    <cacheHierarchy uniqueName="[Range].[New cases]" caption="New cases" attribute="1" defaultMemberUniqueName="[Range].[New cases].[All]" allUniqueName="[Range].[New cases].[All]" dimensionUniqueName="[Range]" displayFolder="" count="0" memberValueDatatype="20" unbalanced="0"/>
    <cacheHierarchy uniqueName="[Range].[New deaths]" caption="New deaths" attribute="1" defaultMemberUniqueName="[Range].[New deaths].[All]" allUniqueName="[Range].[New deaths].[All]" dimensionUniqueName="[Range]" displayFolder="" count="0" memberValueDatatype="20" unbalanced="0"/>
    <cacheHierarchy uniqueName="[Range].[New recovered]" caption="New recovered" attribute="1" defaultMemberUniqueName="[Range].[New recovered].[All]" allUniqueName="[Range].[New recovered].[All]" dimensionUniqueName="[Range]" displayFolder="" count="0" memberValueDatatype="20" unbalanced="0"/>
    <cacheHierarchy uniqueName="[Range].[Deaths / 100 Cases]" caption="Deaths / 100 Cases" attribute="1" defaultMemberUniqueName="[Range].[Deaths / 100 Cases].[All]" allUniqueName="[Range].[Deaths / 100 Cases].[All]" dimensionUniqueName="[Range]" displayFolder="" count="0" memberValueDatatype="20" unbalanced="0"/>
    <cacheHierarchy uniqueName="[Range].[Recovered / 100 Cases]" caption="Recovered / 100 Cases" attribute="1" defaultMemberUniqueName="[Range].[Recovered / 100 Cases].[All]" allUniqueName="[Range].[Recovered / 100 Cases].[All]" dimensionUniqueName="[Range]" displayFolder="" count="0" memberValueDatatype="20" unbalanced="0"/>
    <cacheHierarchy uniqueName="[Range].[Deaths / 100 Recovered]" caption="Deaths / 100 Recovered" attribute="1" defaultMemberUniqueName="[Range].[Deaths / 100 Recovered].[All]" allUniqueName="[Range].[Deaths / 100 Recovered].[All]" dimensionUniqueName="[Range]" displayFolder="" count="0" memberValueDatatype="20" unbalanced="0"/>
    <cacheHierarchy uniqueName="[Range].[No. of countries]" caption="No. of countries" attribute="1" defaultMemberUniqueName="[Range].[No. of countries].[All]" allUniqueName="[Range].[No. of countries].[All]" dimensionUniqueName="[Range]" displayFolder="" count="0" memberValueDatatype="20" unbalanced="0"/>
    <cacheHierarchy uniqueName="[Range].[Daily Growth %]" caption="Daily Growth %" attribute="1" defaultMemberUniqueName="[Range].[Daily Growth %].[All]" allUniqueName="[Range].[Daily Growth %].[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Day)]" caption="Date (Day)" attribute="1" defaultMemberUniqueName="[Range].[Date (Day)].[All]" allUniqueName="[Range].[Date (Day)].[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Recovery Rate %]" caption="Recovery Rate %" attribute="1" defaultMemberUniqueName="[Range].[Recovery Rate %].[All]" allUniqueName="[Range].[Recovery Rate %].[All]" dimensionUniqueName="[Range]" displayFolder="" count="0" memberValueDatatype="5" unbalanced="0"/>
    <cacheHierarchy uniqueName="[Range].[Add Column2]" caption="Add Column2" attribute="1" defaultMemberUniqueName="[Range].[Add Column2].[All]" allUniqueName="[Range].[Add Column2].[All]" dimensionUniqueName="[Range]" displayFolder="" count="0" memberValueDatatype="20" unbalanced="0"/>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caption="Deaths / 100 Recovered" attribute="1" defaultMemberUniqueName="[Table3].[Deaths / 100 Recovered].[All]" allUniqueName="[Table3].[Deaths / 100 Recovered].[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3"/>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Date (Day Index)]" caption="Date (Day Index)" attribute="1" defaultMemberUniqueName="[Range].[Date (Day Index)].[All]" allUniqueName="[Range].[Date (Day Index)].[All]" dimensionUniqueName="[Range]" displayFolder="" count="0" memberValueDatatype="5" unbalanced="0" hidden="1"/>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measure 2]" caption="measure 2" measure="1" displayFolder="" measureGroup="Range" count="0"/>
    <cacheHierarchy uniqueName="[Measures].[__XL_Count Range]" caption="__XL_Count Range" measure="1" displayFolder="" measureGroup="Range" count="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Daily Growth %]" caption="Sum of Daily Growth %" measure="1" displayFolder="" measureGroup="Range" count="0" hidden="1"/>
    <cacheHierarchy uniqueName="[Measures].[Average of Daily Growth %]" caption="Average of Daily Growth %" measure="1" displayFolder="" measureGroup="Range" count="0" oneField="1" hidden="1">
      <fieldsUsage count="1">
        <fieldUsage x="2"/>
      </fieldsUsage>
    </cacheHierarchy>
    <cacheHierarchy uniqueName="[Measures].[Max of Active Cases]" caption="Max of Active Cases" measure="1" displayFolder="" measureGroup="Range"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33"/>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34"/>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35"/>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36"/>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37"/>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38"/>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39"/>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43"/>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43"/>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40"/>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41"/>
        </ext>
      </extLst>
    </cacheHierarchy>
    <cacheHierarchy uniqueName="[Measures].[Sum of Deaths / 100 Recovered]" caption="Sum of Deaths / 100 Recovered" measure="1" displayFolder="" measureGroup="Table3" count="0" hidden="1"/>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40"/>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36"/>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44"/>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44"/>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9"/>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0"/>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21"/>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30"/>
        </ext>
      </extLst>
    </cacheHierarchy>
    <cacheHierarchy uniqueName="[Measures].[Sum of Recovery Rate %]" caption="Sum of Recovery Rate %" measure="1" displayFolder="" measureGroup="Range" count="0" hidden="1"/>
    <cacheHierarchy uniqueName="[Measures].[Sum of Add Column2]" caption="Sum of Add Column2" measure="1" displayFolder="" measureGroup="Range" count="0" hidden="1"/>
  </cacheHierarchies>
  <kpis count="0"/>
  <dimensions count="4">
    <dimension measure="1" name="Measures" uniqueName="[Measures]" caption="Measures"/>
    <dimension name="Range" uniqueName="[Range]" caption="Range"/>
    <dimension name="Range 1" uniqueName="[Range 1]" caption="Range 1"/>
    <dimension name="Table3" uniqueName="[Table3]" caption="Table3"/>
  </dimensions>
  <measureGroups count="3">
    <measureGroup name="Range" caption="Range"/>
    <measureGroup name="Range 1" caption="Range 1"/>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040176041664" backgroundQuery="1" createdVersion="8" refreshedVersion="8" minRefreshableVersion="3" recordCount="0" supportSubquery="1" supportAdvancedDrill="1" xr:uid="{5345F95B-1D0C-4107-8BC4-95A3A292418A}">
  <cacheSource type="external" connectionId="3"/>
  <cacheFields count="5">
    <cacheField name="[Table3].[Date].[Date]" caption="Date" numFmtId="0" hierarchy="14"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Table3].[Date (Month)].[Date (Month)]" caption="Date (Month)" numFmtId="0" hierarchy="27" level="1">
      <sharedItems count="7">
        <s v="Jan"/>
        <s v="Feb"/>
        <s v="Mar"/>
        <s v="Apr"/>
        <s v="May"/>
        <s v="Jun"/>
        <s v="Jul"/>
      </sharedItems>
    </cacheField>
    <cacheField name="[Measures].[Sum of Recovered / 100 Cases]" caption="Sum of Recovered / 100 Cases" numFmtId="0" hierarchy="45" level="32767"/>
    <cacheField name="[Measures].[Sum of Deaths / 100 Recovered]" caption="Sum of Deaths / 100 Recovered" numFmtId="0" hierarchy="46" level="32767"/>
    <cacheField name="[Measures].[Average of Deaths / 100 Cases]" caption="Average of Deaths / 100 Cases" numFmtId="0" hierarchy="47" level="32767"/>
  </cacheFields>
  <cacheHierarchies count="55">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eaths / 100 Recovered]" caption="Sum of Deaths / 100 Recovered" measure="1" displayFolder="" measureGroup="Table3" count="0" oneField="1" hidden="1">
      <fieldsUsage count="1">
        <fieldUsage x="3"/>
      </fieldsUsage>
    </cacheHierarchy>
    <cacheHierarchy uniqueName="[Measures].[Average of Deaths / 100 Cases]" caption="Average of Deaths / 100 Cases" measure="1" displayFolder="" measureGroup="Table3" count="0" oneField="1" hidden="1">
      <fieldsUsage count="1">
        <fieldUsage x="4"/>
      </fieldsUsage>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py" refreshedDate="46190.579302199076" createdVersion="8" refreshedVersion="8" minRefreshableVersion="3" recordCount="188" xr:uid="{69828048-3E67-4AC8-BE48-51C90FB86581}">
  <cacheSource type="worksheet">
    <worksheetSource name="MAINTABLE"/>
  </cacheSource>
  <cacheFields count="23">
    <cacheField name="Date" numFmtId="14">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fieldGroup par="21"/>
    </cacheField>
    <cacheField name="Confirmed Cases" numFmtId="0">
      <sharedItems containsSemiMixedTypes="0" containsString="0" containsNumber="1" containsInteger="1" minValue="555" maxValue="16480485"/>
    </cacheField>
    <cacheField name="Total Deaths" numFmtId="0">
      <sharedItems containsSemiMixedTypes="0" containsString="0" containsNumber="1" containsInteger="1" minValue="17" maxValue="654036"/>
    </cacheField>
    <cacheField name="Total Recovered Cases" numFmtId="0">
      <sharedItems containsSemiMixedTypes="0" containsString="0" containsNumber="1" containsInteger="1" minValue="28" maxValue="9468087"/>
    </cacheField>
    <cacheField name="Active Cases" numFmtId="0">
      <sharedItems containsSemiMixedTypes="0" containsString="0" containsNumber="1" containsInteger="1" minValue="510" maxValue="6358362"/>
    </cacheField>
    <cacheField name="New cases" numFmtId="0">
      <sharedItems containsSemiMixedTypes="0" containsString="0" containsNumber="1" containsInteger="1" minValue="3" maxValue="282756"/>
    </cacheField>
    <cacheField name="New deaths" numFmtId="0">
      <sharedItems containsSemiMixedTypes="0" containsString="0" containsNumber="1" containsInteger="1" minValue="1" maxValue="9966"/>
    </cacheField>
    <cacheField name="New recovered" numFmtId="0">
      <sharedItems containsSemiMixedTypes="0" containsString="0" containsNumber="1" containsInteger="1" minValue="2" maxValue="284394"/>
    </cacheField>
    <cacheField name="Deaths / 100 Cases" numFmtId="0">
      <sharedItems containsSemiMixedTypes="0" containsString="0" containsNumber="1" containsInteger="1" minValue="2" maxValue="7"/>
    </cacheField>
    <cacheField name="Recovered / 100 Cases" numFmtId="0">
      <sharedItems containsSemiMixedTypes="0" containsString="0" containsNumber="1" containsInteger="1" minValue="2" maxValue="57"/>
    </cacheField>
    <cacheField name="Deaths / 100 Recovered %" numFmtId="0">
      <sharedItems containsSemiMixedTypes="0" containsString="0" containsNumber="1" containsInteger="1" minValue="6" maxValue="134"/>
    </cacheField>
    <cacheField name="No. of countries" numFmtId="0">
      <sharedItems containsSemiMixedTypes="0" containsString="0" containsNumber="1" containsInteger="1" minValue="6" maxValue="187"/>
    </cacheField>
    <cacheField name="Daily Growth %" numFmtId="0">
      <sharedItems containsSemiMixedTypes="0" containsString="0" containsNumber="1" minValue="0" maxValue="47.525994980279698"/>
    </cacheField>
    <cacheField name="Recovery Rate %" numFmtId="2">
      <sharedItems containsSemiMixedTypes="0" containsString="0" containsNumber="1" minValue="1.7124119504493562" maxValue="57.450293483474546"/>
    </cacheField>
    <cacheField name="Mortality Rate %" numFmtId="9">
      <sharedItems containsSemiMixedTypes="0" containsString="0" containsNumber="1" minValue="2.0402995333357449E-2" maxValue="7.1814127549490694E-2"/>
    </cacheField>
    <cacheField name="Column1" numFmtId="9">
      <sharedItems/>
    </cacheField>
    <cacheField name="Recovery %" numFmtId="0" formula="'Total Recovered Cases'/'Confirmed Cases'" databaseField="0"/>
    <cacheField name="Field1" numFmtId="0" formula="'Mortality Rate %'" databaseField="0"/>
    <cacheField name="Mortality %" numFmtId="0" formula="'Total Deaths'/'Confirmed Cases'" databaseField="0"/>
    <cacheField name="Active % of Confirmed Cases" numFmtId="0" formula="'Active Cases'/'Confirmed Cases'" databaseField="0"/>
    <cacheField name="Field2" numFmtId="0" formula="'Active % of Confirmed Cases'" databaseField="0"/>
    <cacheField name="Months (Date)" numFmtId="0" databaseField="0">
      <fieldGroup base="0">
        <rangePr groupBy="months" startDate="2020-01-22T00:00:00" endDate="2020-07-28T00:00:00"/>
        <groupItems count="14">
          <s v="&lt;22-01-2020"/>
          <s v="Jan"/>
          <s v="Feb"/>
          <s v="Mar"/>
          <s v="Apr"/>
          <s v="May"/>
          <s v="Jun"/>
          <s v="Jul"/>
          <s v="Aug"/>
          <s v="Sep"/>
          <s v="Oct"/>
          <s v="Nov"/>
          <s v="Dec"/>
          <s v="&gt;28-07-2020"/>
        </groupItems>
      </fieldGroup>
    </cacheField>
    <cacheField name="Field3" numFmtId="0" formula="'Active % of Confirmed Case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040172685185" backgroundQuery="1" createdVersion="8" refreshedVersion="8" minRefreshableVersion="3" recordCount="0" supportSubquery="1" supportAdvancedDrill="1" xr:uid="{C36C0A44-A49D-46DA-AF86-98D8204E8D38}">
  <cacheSource type="external" connectionId="3"/>
  <cacheFields count="6">
    <cacheField name="[Table3].[Date].[Date]" caption="Date" numFmtId="0" hierarchy="14"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Measures].[Sum of Confirmed Cases]" caption="Sum of Confirmed Cases" numFmtId="0" hierarchy="40" level="32767"/>
    <cacheField name="[Measures].[Sum of Total Deaths]" caption="Sum of Total Deaths" numFmtId="0" hierarchy="41" level="32767"/>
    <cacheField name="[Measures].[Sum of Total Recovered Cases]" caption="Sum of Total Recovered Cases" numFmtId="0" hierarchy="42" level="32767"/>
    <cacheField name="[Measures].[Sum of Active Cases]" caption="Sum of Active Cases" numFmtId="0" hierarchy="43" level="32767"/>
    <cacheField name="[Table3].[Date (Month)].[Date (Month)]" caption="Date (Month)" numFmtId="0" hierarchy="27" level="1">
      <sharedItems count="7">
        <s v="Jan"/>
        <s v="Feb"/>
        <s v="Mar"/>
        <s v="Apr"/>
        <s v="May"/>
        <s v="Jun"/>
        <s v="Jul"/>
      </sharedItems>
    </cacheField>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5"/>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oneField="1" hidden="1">
      <fieldsUsage count="1">
        <fieldUsage x="4"/>
      </fieldsUsage>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04017453704" backgroundQuery="1" createdVersion="8" refreshedVersion="8" minRefreshableVersion="3" recordCount="0" supportSubquery="1" supportAdvancedDrill="1" xr:uid="{00EBD61D-6F3D-4974-904B-F764E23B3A18}">
  <cacheSource type="external" connectionId="3"/>
  <cacheFields count="4">
    <cacheField name="[Table3].[Date (Month)].[Date (Month)]" caption="Date (Month)" numFmtId="0" hierarchy="27" level="1">
      <sharedItems count="7">
        <s v="Jan"/>
        <s v="Feb"/>
        <s v="Mar"/>
        <s v="Apr"/>
        <s v="May"/>
        <s v="Jun"/>
        <s v="Jul"/>
      </sharedItems>
    </cacheField>
    <cacheField name="[Measures].[Sum of New cases]" caption="Sum of New cases" numFmtId="0" hierarchy="44" level="32767"/>
    <cacheField name="[Measures].[Sum of New deaths]" caption="Sum of New deaths" numFmtId="0" hierarchy="45" level="32767"/>
    <cacheField name="[Measures].[Sum of New recovered]" caption="Sum of New recovered" numFmtId="0" hierarchy="46"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579732060185" backgroundQuery="1" createdVersion="8" refreshedVersion="8" minRefreshableVersion="3" recordCount="0" supportSubquery="1" supportAdvancedDrill="1" xr:uid="{36CB3628-39FB-493A-9241-D62455ADDA2C}">
  <cacheSource type="external" connectionId="3"/>
  <cacheFields count="3">
    <cacheField name="[Table3].[Date].[Date]" caption="Date" numFmtId="0" hierarchy="14" level="1">
      <sharedItems containsSemiMixedTypes="0" containsNonDate="0" containsDate="1" containsString="0" minDate="2020-01-22T00:00:00" maxDate="2020-07-28T00:00:00" count="188">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Table3].[Date (Month)].[Date (Month)]" caption="Date (Month)" numFmtId="0" hierarchy="27" level="1">
      <sharedItems count="1">
        <s v="Jan"/>
      </sharedItems>
    </cacheField>
    <cacheField name="[Measures].[Max of No. of countries]" caption="Max of No. of countries" numFmtId="0" hierarchy="48"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58074085648" backgroundQuery="1" createdVersion="8" refreshedVersion="8" minRefreshableVersion="3" recordCount="0" supportSubquery="1" supportAdvancedDrill="1" xr:uid="{5A5EF96F-A4B9-4549-9D6A-F7CBDAE3BD89}">
  <cacheSource type="external" connectionId="3"/>
  <cacheFields count="3">
    <cacheField name="[Measures].[Recovery ratee]" caption="Recovery ratee" numFmtId="0" hierarchy="35" level="32767"/>
    <cacheField name="[Table3].[Date (Month)].[Date (Month)]" caption="Date (Month)" numFmtId="0" hierarchy="27" level="1">
      <sharedItems count="7">
        <s v="Jan"/>
        <s v="Feb"/>
        <s v="Mar"/>
        <s v="Apr"/>
        <s v="May"/>
        <s v="Jun"/>
        <s v="Jul"/>
      </sharedItems>
    </cacheField>
    <cacheField name="[Measures].[Mortality Rate]" caption="Mortality Rate" numFmtId="0" hierarchy="36"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oneField="1">
      <fieldsUsage count="1">
        <fieldUsage x="0"/>
      </fieldsUsage>
    </cacheHierarchy>
    <cacheHierarchy uniqueName="[Measures].[Mortality Rate]" caption="Mortality Rate" measure="1" displayFolder="" measureGroup="Table3" count="0" oneField="1">
      <fieldsUsage count="1">
        <fieldUsage x="2"/>
      </fieldsUsage>
    </cacheHierarchy>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579730902777" backgroundQuery="1" createdVersion="8" refreshedVersion="8" minRefreshableVersion="3" recordCount="0" supportSubquery="1" supportAdvancedDrill="1" xr:uid="{D77A6EE3-AA0E-4F17-8C34-C693CD4B99DC}">
  <cacheSource type="external" connectionId="3"/>
  <cacheFields count="2">
    <cacheField name="[Table3].[Date (Month)].[Date (Month)]" caption="Date (Month)" numFmtId="0" hierarchy="27" level="1">
      <sharedItems count="1">
        <s v="Jan"/>
      </sharedItems>
    </cacheField>
    <cacheField name="[Measures].[Max of Active Cases 2]" caption="Max of Active Cases 2" numFmtId="0" hierarchy="53"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040177430557" backgroundQuery="1" createdVersion="8" refreshedVersion="8" minRefreshableVersion="3" recordCount="0" supportSubquery="1" supportAdvancedDrill="1" xr:uid="{BF0A56A2-9E08-484E-82FA-2105A769EB59}">
  <cacheSource type="external" connectionId="3"/>
  <cacheFields count="2">
    <cacheField name="[Table3].[Date (Month)].[Date (Month)]" caption="Date (Month)" numFmtId="0" hierarchy="27" level="1">
      <sharedItems count="7">
        <s v="Jan"/>
        <s v="Feb"/>
        <s v="Mar"/>
        <s v="Apr"/>
        <s v="May"/>
        <s v="Jun"/>
        <s v="Jul"/>
      </sharedItems>
    </cacheField>
    <cacheField name="[Measures].[Average of Daily Growth % 2]" caption="Average of Daily Growth % 2" numFmtId="0" hierarchy="55"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579300925929" backgroundQuery="1" createdVersion="8" refreshedVersion="8" minRefreshableVersion="3" recordCount="0" supportSubquery="1" supportAdvancedDrill="1" xr:uid="{144131BF-B134-480F-A37D-A588B8E2F242}">
  <cacheSource type="external" connectionId="3"/>
  <cacheFields count="3">
    <cacheField name="[Range 1].[Date].[Date]" caption="Date" numFmtId="0" level="1">
      <sharedItems containsNonDate="0" containsDate="1" containsString="0" containsBlank="1" minDate="2020-01-22T00:00:00" maxDate="2020-07-28T00:00:00" count="189">
        <m/>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sharedItems>
    </cacheField>
    <cacheField name="[Range 1].[Date (Month)].[Date (Month)]" caption="Date (Month)" numFmtId="0" hierarchy="13" level="1">
      <sharedItems count="7">
        <s v="Jan"/>
        <s v="Feb"/>
        <s v="Mar"/>
        <s v="Apr"/>
        <s v="May"/>
        <s v="Jun"/>
        <s v="Jul"/>
      </sharedItems>
    </cacheField>
    <cacheField name="[Measures].[Sum of Confirmed]" caption="Sum of Confirmed" numFmtId="0" hierarchy="56" level="32767"/>
  </cacheFields>
  <cacheHierarchies count="67">
    <cacheHierarchy uniqueName="[Range 1].[Date]" caption="Date" attribute="1" time="1" defaultMemberUniqueName="[Range 1].[Date].[All]" allUniqueName="[Range 1].[Date].[All]" dimensionUniqueName="[Range 1]" displayFolder="" count="2" memberValueDatatype="7" unbalanced="0">
      <fieldsUsage count="2">
        <fieldUsage x="-1"/>
        <fieldUsage x="0"/>
      </fieldsUsage>
    </cacheHierarchy>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0"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2106483" backgroundQuery="1" createdVersion="8" refreshedVersion="8" minRefreshableVersion="3" recordCount="0" supportSubquery="1" supportAdvancedDrill="1" xr:uid="{66201589-5C34-4794-84C6-C52EF051B35B}">
  <cacheSource type="external" connectionId="3"/>
  <cacheFields count="5">
    <cacheField name="[Table3].[Date (Month)].[Date (Month)]" caption="Date (Month)" numFmtId="0" hierarchy="27" level="1">
      <sharedItems count="7">
        <s v="Jan"/>
        <s v="Feb"/>
        <s v="Mar"/>
        <s v="Apr"/>
        <s v="May"/>
        <s v="Jun"/>
        <s v="Jul"/>
      </sharedItems>
    </cacheField>
    <cacheField name="[Measures].[Max of Total Deaths]" caption="Max of Total Deaths" numFmtId="0" hierarchy="61" level="32767"/>
    <cacheField name="[Measures].[Max of Confirmed Cases]" caption="Max of Confirmed Cases" numFmtId="0" hierarchy="62" level="32767"/>
    <cacheField name="[Measures].[Max of Active Cases 2]" caption="Max of Active Cases 2" numFmtId="0" hierarchy="53" level="32767"/>
    <cacheField name="[Measures].[Max of Total Recovered Cases]" caption="Max of Total Recovered Cases" numFmtId="0" hierarchy="60" level="32767"/>
  </cacheFields>
  <cacheHierarchies count="67">
    <cacheHierarchy uniqueName="[Range 1].[Date]" caption="Date" attribute="1" time="1" defaultMemberUniqueName="[Range 1].[Date].[All]" allUniqueName="[Range 1].[Date].[All]" dimensionUniqueName="[Range 1]" displayFolder="" count="2" memberValueDatatype="7" unbalanced="0"/>
    <cacheHierarchy uniqueName="[Range 1].[Confirmed]" caption="Confirmed" attribute="1" defaultMemberUniqueName="[Range 1].[Confirmed].[All]" allUniqueName="[Range 1].[Confirmed].[All]" dimensionUniqueName="[Range 1]" displayFolder="" count="2" memberValueDatatype="20" unbalanced="0"/>
    <cacheHierarchy uniqueName="[Range 1].[Deaths]" caption="Deaths" attribute="1" defaultMemberUniqueName="[Range 1].[Deaths].[All]" allUniqueName="[Range 1].[Deaths].[All]" dimensionUniqueName="[Range 1]" displayFolder="" count="2" memberValueDatatype="20" unbalanced="0"/>
    <cacheHierarchy uniqueName="[Range 1].[Recovered]" caption="Recovered" attribute="1" defaultMemberUniqueName="[Range 1].[Recovered].[All]" allUniqueName="[Range 1].[Recovered].[All]" dimensionUniqueName="[Range 1]" displayFolder="" count="2" memberValueDatatype="20" unbalanced="0"/>
    <cacheHierarchy uniqueName="[Range 1].[Active]" caption="Active" attribute="1" defaultMemberUniqueName="[Range 1].[Active].[All]" allUniqueName="[Range 1].[Active].[All]" dimensionUniqueName="[Range 1]" displayFolder="" count="2" memberValueDatatype="20" unbalanced="0"/>
    <cacheHierarchy uniqueName="[Range 1].[New cases]" caption="New cases" attribute="1" defaultMemberUniqueName="[Range 1].[New cases].[All]" allUniqueName="[Range 1].[New cases].[All]" dimensionUniqueName="[Range 1]" displayFolder="" count="2" memberValueDatatype="20" unbalanced="0"/>
    <cacheHierarchy uniqueName="[Range 1].[New deaths]" caption="New deaths" attribute="1" defaultMemberUniqueName="[Range 1].[New deaths].[All]" allUniqueName="[Range 1].[New deaths].[All]" dimensionUniqueName="[Range 1]" displayFolder="" count="2" memberValueDatatype="20" unbalanced="0"/>
    <cacheHierarchy uniqueName="[Range 1].[New recovered]" caption="New recovered" attribute="1" defaultMemberUniqueName="[Range 1].[New recovered].[All]" allUniqueName="[Range 1].[New recovered].[All]" dimensionUniqueName="[Range 1]" displayFolder="" count="2" memberValueDatatype="20" unbalanced="0"/>
    <cacheHierarchy uniqueName="[Range 1].[Deaths / 100 Cases]" caption="Deaths / 100 Cases" attribute="1" defaultMemberUniqueName="[Range 1].[Deaths / 100 Cases].[All]" allUniqueName="[Range 1].[Deaths / 100 Cases].[All]" dimensionUniqueName="[Range 1]" displayFolder="" count="2" memberValueDatatype="5" unbalanced="0"/>
    <cacheHierarchy uniqueName="[Range 1].[Recovered / 100 Cases]" caption="Recovered / 100 Cases" attribute="1" defaultMemberUniqueName="[Range 1].[Recovered / 100 Cases].[All]" allUniqueName="[Range 1].[Recovered / 100 Cases].[All]" dimensionUniqueName="[Range 1]" displayFolder="" count="2" memberValueDatatype="5" unbalanced="0"/>
    <cacheHierarchy uniqueName="[Range 1].[Deaths / 100 Recovered]" caption="Deaths / 100 Recovered" attribute="1" defaultMemberUniqueName="[Range 1].[Deaths / 100 Recovered].[All]" allUniqueName="[Range 1].[Deaths / 100 Recovered].[All]" dimensionUniqueName="[Range 1]" displayFolder="" count="2" memberValueDatatype="5" unbalanced="0"/>
    <cacheHierarchy uniqueName="[Range 1].[No. of countries]" caption="No. of countries" attribute="1" defaultMemberUniqueName="[Range 1].[No. of countries].[All]" allUniqueName="[Range 1].[No. of countries].[All]" dimensionUniqueName="[Range 1]" displayFolder="" count="2" memberValueDatatype="20" unbalanced="0"/>
    <cacheHierarchy uniqueName="[Range 1].[FOR KPIs]" caption="FOR KPIs" attribute="1" defaultMemberUniqueName="[Range 1].[FOR KPIs].[All]" allUniqueName="[Range 1].[FOR KPIs].[All]" dimensionUniqueName="[Range 1]" displayFolder="" count="2" memberValueDatatype="130" unbalanced="0"/>
    <cacheHierarchy uniqueName="[Range 1].[Date (Month)]" caption="Date (Month)" attribute="1" defaultMemberUniqueName="[Range 1].[Date (Month)].[All]" allUniqueName="[Range 1].[Date (Month)].[All]" dimensionUniqueName="[Range 1]" displayFolder="" count="2"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2" memberValueDatatype="20" unbalanced="0"/>
    <cacheHierarchy uniqueName="[Table3].[Total Deaths]" caption="Total Deaths" attribute="1" defaultMemberUniqueName="[Table3].[Total Deaths].[All]" allUniqueName="[Table3].[Total Deaths].[All]" dimensionUniqueName="[Table3]" displayFolder="" count="2" memberValueDatatype="20" unbalanced="0"/>
    <cacheHierarchy uniqueName="[Table3].[Total Recovered Cases]" caption="Total Recovered Cases" attribute="1" defaultMemberUniqueName="[Table3].[Total Recovered Cases].[All]" allUniqueName="[Table3].[Total Recovered Cases].[All]" dimensionUniqueName="[Table3]" displayFolder="" count="2" memberValueDatatype="20" unbalanced="0"/>
    <cacheHierarchy uniqueName="[Table3].[Active Cases]" caption="Active Cases" attribute="1" defaultMemberUniqueName="[Table3].[Active Cases].[All]" allUniqueName="[Table3].[Active Cases].[All]" dimensionUniqueName="[Table3]" displayFolder="" count="2" memberValueDatatype="20" unbalanced="0"/>
    <cacheHierarchy uniqueName="[Table3].[New cases]" caption="New cases" attribute="1" defaultMemberUniqueName="[Table3].[New cases].[All]" allUniqueName="[Table3].[New cases].[All]" dimensionUniqueName="[Table3]" displayFolder="" count="2" memberValueDatatype="20" unbalanced="0"/>
    <cacheHierarchy uniqueName="[Table3].[New deaths]" caption="New deaths" attribute="1" defaultMemberUniqueName="[Table3].[New deaths].[All]" allUniqueName="[Table3].[New deaths].[All]" dimensionUniqueName="[Table3]" displayFolder="" count="2" memberValueDatatype="20" unbalanced="0"/>
    <cacheHierarchy uniqueName="[Table3].[New recovered]" caption="New recovered" attribute="1" defaultMemberUniqueName="[Table3].[New recovered].[All]" allUniqueName="[Table3].[New recovered].[All]" dimensionUniqueName="[Table3]" displayFolder="" count="2" memberValueDatatype="20" unbalanced="0"/>
    <cacheHierarchy uniqueName="[Table3].[Deaths / 100 Cases]" caption="Deaths / 100 Cases" attribute="1" defaultMemberUniqueName="[Table3].[Deaths / 100 Cases].[All]" allUniqueName="[Table3].[Deaths / 100 Cases].[All]" dimensionUniqueName="[Table3]" displayFolder="" count="2" memberValueDatatype="20" unbalanced="0"/>
    <cacheHierarchy uniqueName="[Table3].[Recovered / 100 Cases]" caption="Recovered / 100 Cases" attribute="1" defaultMemberUniqueName="[Table3].[Recovered / 100 Cases].[All]" allUniqueName="[Table3].[Recovered / 100 Cases].[All]" dimensionUniqueName="[Table3]" displayFolder="" count="2" memberValueDatatype="20" unbalanced="0"/>
    <cacheHierarchy uniqueName="[Table3].[Deaths / 100 Recovered %]" caption="Deaths / 100 Recovered %" attribute="1" defaultMemberUniqueName="[Table3].[Deaths / 100 Recovered %].[All]" allUniqueName="[Table3].[Deaths / 100 Recovered %].[All]" dimensionUniqueName="[Table3]" displayFolder="" count="2" memberValueDatatype="20" unbalanced="0"/>
    <cacheHierarchy uniqueName="[Table3].[No. of countries]" caption="No. of countries" attribute="1" defaultMemberUniqueName="[Table3].[No. of countries].[All]" allUniqueName="[Table3].[No. of countries].[All]" dimensionUniqueName="[Table3]" displayFolder="" count="2" memberValueDatatype="20" unbalanced="0"/>
    <cacheHierarchy uniqueName="[Table3].[Daily Growth %]" caption="Daily Growth %" attribute="1" defaultMemberUniqueName="[Table3].[Daily Growth %].[All]" allUniqueName="[Table3].[Daily Growth %].[All]" dimensionUniqueName="[Table3]" displayFolder="" count="2"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2" memberValueDatatype="130" unbalanced="0"/>
    <cacheHierarchy uniqueName="[Table3].[Recovery Rate %]" caption="Recovery Rate %" attribute="1" defaultMemberUniqueName="[Table3].[Recovery Rate %].[All]" allUniqueName="[Table3].[Recovery Rate %].[All]" dimensionUniqueName="[Table3]" displayFolder="" count="2" memberValueDatatype="5" unbalanced="0"/>
    <cacheHierarchy uniqueName="[Table3].[Mortality Rate %]" caption="Mortality Rate %" attribute="1" defaultMemberUniqueName="[Table3].[Mortality Rate %].[All]" allUniqueName="[Table3].[Mortality Rate %].[All]" dimensionUniqueName="[Table3]" displayFolder="" count="2" memberValueDatatype="5" unbalanced="0"/>
    <cacheHierarchy uniqueName="[Table3].[Column1]" caption="Column1" attribute="1" defaultMemberUniqueName="[Table3].[Column1].[All]" allUniqueName="[Table3].[Column1].[All]" dimensionUniqueName="[Table3]" displayFolder="" count="2" memberValueDatatype="130" unbalanced="0"/>
    <cacheHierarchy uniqueName="[Range 1].[Date (Month Index)]" caption="Date (Month Index)" attribute="1" defaultMemberUniqueName="[Range 1].[Date (Month Index)].[All]" allUniqueName="[Range 1].[Date (Month Index)].[All]" dimensionUniqueName="[Range 1]" displayFolder="" count="2" memberValueDatatype="20" unbalanced="0" hidden="1"/>
    <cacheHierarchy uniqueName="[Table3].[Date (Month Index)]" caption="Date (Month Index)" attribute="1" defaultMemberUniqueName="[Table3].[Date (Month Index)].[All]" allUniqueName="[Table3].[Date (Month Index)].[All]" dimensionUniqueName="[Table3]" displayFolder="" count="2"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oneField="1" hidden="1">
      <fieldsUsage count="1">
        <fieldUsage x="4"/>
      </fieldsUsage>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3726853" backgroundQuery="1" createdVersion="8" refreshedVersion="8" minRefreshableVersion="3" recordCount="0" supportSubquery="1" supportAdvancedDrill="1" xr:uid="{C0FBC31E-370C-4935-98FB-98CD1444B073}">
  <cacheSource type="external" connectionId="3"/>
  <cacheFields count="4">
    <cacheField name="[Table3].[Date (Month)].[Date (Month)]" caption="Date (Month)" numFmtId="0" hierarchy="27" level="1">
      <sharedItems count="7">
        <s v="Jan"/>
        <s v="Feb"/>
        <s v="Mar"/>
        <s v="Apr"/>
        <s v="May"/>
        <s v="Jun"/>
        <s v="Jul"/>
      </sharedItems>
    </cacheField>
    <cacheField name="[Measures].[Sum of New deaths]" caption="Sum of New deaths" numFmtId="0" hierarchy="45" level="32767"/>
    <cacheField name="[Measures].[Sum of New cases]" caption="Sum of New cases" numFmtId="0" hierarchy="44" level="32767"/>
    <cacheField name="[Measures].[Sum of New recovered]" caption="Sum of New recovered" numFmtId="0" hierarchy="46" level="32767"/>
  </cacheFields>
  <cacheHierarchies count="67">
    <cacheHierarchy uniqueName="[Range 1].[Date]" caption="Date" attribute="1" time="1" defaultMemberUniqueName="[Range 1].[Date].[All]" allUniqueName="[Range 1].[Date].[All]" dimensionUniqueName="[Range 1]" displayFolder="" count="2" memberValueDatatype="7" unbalanced="0"/>
    <cacheHierarchy uniqueName="[Range 1].[Confirmed]" caption="Confirmed" attribute="1" defaultMemberUniqueName="[Range 1].[Confirmed].[All]" allUniqueName="[Range 1].[Confirmed].[All]" dimensionUniqueName="[Range 1]" displayFolder="" count="2" memberValueDatatype="20" unbalanced="0"/>
    <cacheHierarchy uniqueName="[Range 1].[Deaths]" caption="Deaths" attribute="1" defaultMemberUniqueName="[Range 1].[Deaths].[All]" allUniqueName="[Range 1].[Deaths].[All]" dimensionUniqueName="[Range 1]" displayFolder="" count="2" memberValueDatatype="20" unbalanced="0"/>
    <cacheHierarchy uniqueName="[Range 1].[Recovered]" caption="Recovered" attribute="1" defaultMemberUniqueName="[Range 1].[Recovered].[All]" allUniqueName="[Range 1].[Recovered].[All]" dimensionUniqueName="[Range 1]" displayFolder="" count="2" memberValueDatatype="20" unbalanced="0"/>
    <cacheHierarchy uniqueName="[Range 1].[Active]" caption="Active" attribute="1" defaultMemberUniqueName="[Range 1].[Active].[All]" allUniqueName="[Range 1].[Active].[All]" dimensionUniqueName="[Range 1]" displayFolder="" count="2" memberValueDatatype="20" unbalanced="0"/>
    <cacheHierarchy uniqueName="[Range 1].[New cases]" caption="New cases" attribute="1" defaultMemberUniqueName="[Range 1].[New cases].[All]" allUniqueName="[Range 1].[New cases].[All]" dimensionUniqueName="[Range 1]" displayFolder="" count="2" memberValueDatatype="20" unbalanced="0"/>
    <cacheHierarchy uniqueName="[Range 1].[New deaths]" caption="New deaths" attribute="1" defaultMemberUniqueName="[Range 1].[New deaths].[All]" allUniqueName="[Range 1].[New deaths].[All]" dimensionUniqueName="[Range 1]" displayFolder="" count="2" memberValueDatatype="20" unbalanced="0"/>
    <cacheHierarchy uniqueName="[Range 1].[New recovered]" caption="New recovered" attribute="1" defaultMemberUniqueName="[Range 1].[New recovered].[All]" allUniqueName="[Range 1].[New recovered].[All]" dimensionUniqueName="[Range 1]" displayFolder="" count="2" memberValueDatatype="20" unbalanced="0"/>
    <cacheHierarchy uniqueName="[Range 1].[Deaths / 100 Cases]" caption="Deaths / 100 Cases" attribute="1" defaultMemberUniqueName="[Range 1].[Deaths / 100 Cases].[All]" allUniqueName="[Range 1].[Deaths / 100 Cases].[All]" dimensionUniqueName="[Range 1]" displayFolder="" count="2" memberValueDatatype="5" unbalanced="0"/>
    <cacheHierarchy uniqueName="[Range 1].[Recovered / 100 Cases]" caption="Recovered / 100 Cases" attribute="1" defaultMemberUniqueName="[Range 1].[Recovered / 100 Cases].[All]" allUniqueName="[Range 1].[Recovered / 100 Cases].[All]" dimensionUniqueName="[Range 1]" displayFolder="" count="2" memberValueDatatype="5" unbalanced="0"/>
    <cacheHierarchy uniqueName="[Range 1].[Deaths / 100 Recovered]" caption="Deaths / 100 Recovered" attribute="1" defaultMemberUniqueName="[Range 1].[Deaths / 100 Recovered].[All]" allUniqueName="[Range 1].[Deaths / 100 Recovered].[All]" dimensionUniqueName="[Range 1]" displayFolder="" count="2" memberValueDatatype="5" unbalanced="0"/>
    <cacheHierarchy uniqueName="[Range 1].[No. of countries]" caption="No. of countries" attribute="1" defaultMemberUniqueName="[Range 1].[No. of countries].[All]" allUniqueName="[Range 1].[No. of countries].[All]" dimensionUniqueName="[Range 1]" displayFolder="" count="2" memberValueDatatype="20" unbalanced="0"/>
    <cacheHierarchy uniqueName="[Range 1].[FOR KPIs]" caption="FOR KPIs" attribute="1" defaultMemberUniqueName="[Range 1].[FOR KPIs].[All]" allUniqueName="[Range 1].[FOR KPIs].[All]" dimensionUniqueName="[Range 1]" displayFolder="" count="2" memberValueDatatype="130" unbalanced="0"/>
    <cacheHierarchy uniqueName="[Range 1].[Date (Month)]" caption="Date (Month)" attribute="1" defaultMemberUniqueName="[Range 1].[Date (Month)].[All]" allUniqueName="[Range 1].[Date (Month)].[All]" dimensionUniqueName="[Range 1]" displayFolder="" count="2"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2" memberValueDatatype="20" unbalanced="0"/>
    <cacheHierarchy uniqueName="[Table3].[Total Deaths]" caption="Total Deaths" attribute="1" defaultMemberUniqueName="[Table3].[Total Deaths].[All]" allUniqueName="[Table3].[Total Deaths].[All]" dimensionUniqueName="[Table3]" displayFolder="" count="2" memberValueDatatype="20" unbalanced="0"/>
    <cacheHierarchy uniqueName="[Table3].[Total Recovered Cases]" caption="Total Recovered Cases" attribute="1" defaultMemberUniqueName="[Table3].[Total Recovered Cases].[All]" allUniqueName="[Table3].[Total Recovered Cases].[All]" dimensionUniqueName="[Table3]" displayFolder="" count="2" memberValueDatatype="20" unbalanced="0"/>
    <cacheHierarchy uniqueName="[Table3].[Active Cases]" caption="Active Cases" attribute="1" defaultMemberUniqueName="[Table3].[Active Cases].[All]" allUniqueName="[Table3].[Active Cases].[All]" dimensionUniqueName="[Table3]" displayFolder="" count="2" memberValueDatatype="20" unbalanced="0"/>
    <cacheHierarchy uniqueName="[Table3].[New cases]" caption="New cases" attribute="1" defaultMemberUniqueName="[Table3].[New cases].[All]" allUniqueName="[Table3].[New cases].[All]" dimensionUniqueName="[Table3]" displayFolder="" count="2" memberValueDatatype="20" unbalanced="0"/>
    <cacheHierarchy uniqueName="[Table3].[New deaths]" caption="New deaths" attribute="1" defaultMemberUniqueName="[Table3].[New deaths].[All]" allUniqueName="[Table3].[New deaths].[All]" dimensionUniqueName="[Table3]" displayFolder="" count="2" memberValueDatatype="20" unbalanced="0"/>
    <cacheHierarchy uniqueName="[Table3].[New recovered]" caption="New recovered" attribute="1" defaultMemberUniqueName="[Table3].[New recovered].[All]" allUniqueName="[Table3].[New recovered].[All]" dimensionUniqueName="[Table3]" displayFolder="" count="2" memberValueDatatype="20" unbalanced="0"/>
    <cacheHierarchy uniqueName="[Table3].[Deaths / 100 Cases]" caption="Deaths / 100 Cases" attribute="1" defaultMemberUniqueName="[Table3].[Deaths / 100 Cases].[All]" allUniqueName="[Table3].[Deaths / 100 Cases].[All]" dimensionUniqueName="[Table3]" displayFolder="" count="2" memberValueDatatype="20" unbalanced="0"/>
    <cacheHierarchy uniqueName="[Table3].[Recovered / 100 Cases]" caption="Recovered / 100 Cases" attribute="1" defaultMemberUniqueName="[Table3].[Recovered / 100 Cases].[All]" allUniqueName="[Table3].[Recovered / 100 Cases].[All]" dimensionUniqueName="[Table3]" displayFolder="" count="2" memberValueDatatype="20" unbalanced="0"/>
    <cacheHierarchy uniqueName="[Table3].[Deaths / 100 Recovered %]" caption="Deaths / 100 Recovered %" attribute="1" defaultMemberUniqueName="[Table3].[Deaths / 100 Recovered %].[All]" allUniqueName="[Table3].[Deaths / 100 Recovered %].[All]" dimensionUniqueName="[Table3]" displayFolder="" count="2" memberValueDatatype="20" unbalanced="0"/>
    <cacheHierarchy uniqueName="[Table3].[No. of countries]" caption="No. of countries" attribute="1" defaultMemberUniqueName="[Table3].[No. of countries].[All]" allUniqueName="[Table3].[No. of countries].[All]" dimensionUniqueName="[Table3]" displayFolder="" count="2" memberValueDatatype="20" unbalanced="0"/>
    <cacheHierarchy uniqueName="[Table3].[Daily Growth %]" caption="Daily Growth %" attribute="1" defaultMemberUniqueName="[Table3].[Daily Growth %].[All]" allUniqueName="[Table3].[Daily Growth %].[All]" dimensionUniqueName="[Table3]" displayFolder="" count="2"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2" memberValueDatatype="130" unbalanced="0"/>
    <cacheHierarchy uniqueName="[Table3].[Date (Quarter)]" caption="Date (Quarter)" attribute="1" defaultMemberUniqueName="[Table3].[Date (Quarter)].[All]" allUniqueName="[Table3].[Date (Quarter)].[All]" dimensionUniqueName="[Table3]" displayFolder="" count="2" memberValueDatatype="130" unbalanced="0"/>
    <cacheHierarchy uniqueName="[Table3].[Recovery Rate %]" caption="Recovery Rate %" attribute="1" defaultMemberUniqueName="[Table3].[Recovery Rate %].[All]" allUniqueName="[Table3].[Recovery Rate %].[All]" dimensionUniqueName="[Table3]" displayFolder="" count="2" memberValueDatatype="5" unbalanced="0"/>
    <cacheHierarchy uniqueName="[Table3].[Mortality Rate %]" caption="Mortality Rate %" attribute="1" defaultMemberUniqueName="[Table3].[Mortality Rate %].[All]" allUniqueName="[Table3].[Mortality Rate %].[All]" dimensionUniqueName="[Table3]" displayFolder="" count="2" memberValueDatatype="5" unbalanced="0"/>
    <cacheHierarchy uniqueName="[Table3].[Column1]" caption="Column1" attribute="1" defaultMemberUniqueName="[Table3].[Column1].[All]" allUniqueName="[Table3].[Column1].[All]" dimensionUniqueName="[Table3]" displayFolder="" count="2" memberValueDatatype="130" unbalanced="0"/>
    <cacheHierarchy uniqueName="[Range 1].[Date (Month Index)]" caption="Date (Month Index)" attribute="1" defaultMemberUniqueName="[Range 1].[Date (Month Index)].[All]" allUniqueName="[Range 1].[Date (Month Index)].[All]" dimensionUniqueName="[Range 1]" displayFolder="" count="2" memberValueDatatype="20" unbalanced="0" hidden="1"/>
    <cacheHierarchy uniqueName="[Table3].[Date (Month Index)]" caption="Date (Month Index)" attribute="1" defaultMemberUniqueName="[Table3].[Date (Month Index)].[All]" allUniqueName="[Table3].[Date (Month Index)].[All]" dimensionUniqueName="[Table3]" displayFolder="" count="2"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5347224" backgroundQuery="1" createdVersion="8" refreshedVersion="8" minRefreshableVersion="3" recordCount="0" supportSubquery="1" supportAdvancedDrill="1" xr:uid="{D532BF44-F379-4787-B702-27E8551829E9}">
  <cacheSource type="external" connectionId="3"/>
  <cacheFields count="2">
    <cacheField name="[Table3].[Date (Month)].[Date (Month)]" caption="Date (Month)" numFmtId="0" hierarchy="27" level="1">
      <sharedItems count="7">
        <s v="Jan"/>
        <s v="Feb"/>
        <s v="Mar"/>
        <s v="Apr"/>
        <s v="May"/>
        <s v="Jun"/>
        <s v="Jul"/>
      </sharedItems>
    </cacheField>
    <cacheField name="[Measures].[Max of No. of countries]" caption="Max of No. of countries" numFmtId="0" hierarchy="48"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6851855" backgroundQuery="1" createdVersion="8" refreshedVersion="8" minRefreshableVersion="3" recordCount="0" supportSubquery="1" supportAdvancedDrill="1" xr:uid="{450AC02A-DFA0-4025-8145-D7C635974C66}">
  <cacheSource type="external" connectionId="3"/>
  <cacheFields count="3">
    <cacheField name="[Table3].[Date (Month)].[Date (Month)]" caption="Date (Month)" numFmtId="0" hierarchy="27" level="1">
      <sharedItems count="7">
        <s v="Jan"/>
        <s v="Feb"/>
        <s v="Mar"/>
        <s v="Apr"/>
        <s v="May"/>
        <s v="Jun"/>
        <s v="Jul"/>
      </sharedItems>
    </cacheField>
    <cacheField name="[Measures].[Recovery ratee]" caption="Recovery ratee" numFmtId="0" hierarchy="35" level="32767"/>
    <cacheField name="[Measures].[Mortality Rate]" caption="Mortality Rate" numFmtId="0" hierarchy="36"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oneField="1">
      <fieldsUsage count="1">
        <fieldUsage x="1"/>
      </fieldsUsage>
    </cacheHierarchy>
    <cacheHierarchy uniqueName="[Measures].[Mortality Rate]" caption="Mortality Rate" measure="1" displayFolder="" measureGroup="Table3" count="0" oneField="1">
      <fieldsUsage count="1">
        <fieldUsage x="2"/>
      </fieldsUsage>
    </cacheHierarchy>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7893518" backgroundQuery="1" createdVersion="8" refreshedVersion="8" minRefreshableVersion="3" recordCount="0" supportSubquery="1" supportAdvancedDrill="1" xr:uid="{CC82AA9D-FD13-4F93-98BD-E12BD1C6B9AB}">
  <cacheSource type="external" connectionId="3"/>
  <cacheFields count="2">
    <cacheField name="[Table3].[Date (Month)].[Date (Month)]" caption="Date (Month)" numFmtId="0" hierarchy="27" level="1">
      <sharedItems count="7">
        <s v="Jan"/>
        <s v="Feb"/>
        <s v="Mar"/>
        <s v="Apr"/>
        <s v="May"/>
        <s v="Jun"/>
        <s v="Jul"/>
      </sharedItems>
    </cacheField>
    <cacheField name="[Measures].[Max of Active Cases 2]" caption="Max of Active Cases 2" numFmtId="0" hierarchy="53"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49979282411" backgroundQuery="1" createdVersion="8" refreshedVersion="8" minRefreshableVersion="3" recordCount="0" supportSubquery="1" supportAdvancedDrill="1" xr:uid="{C5BF36EF-786E-4106-BEC4-FDDCCDE85395}">
  <cacheSource type="external" connectionId="3"/>
  <cacheFields count="2">
    <cacheField name="[Table3].[Date (Month)].[Date (Month)]" caption="Date (Month)" numFmtId="0" hierarchy="27" level="1">
      <sharedItems count="7">
        <s v="Jan"/>
        <s v="Feb"/>
        <s v="Mar"/>
        <s v="Apr"/>
        <s v="May"/>
        <s v="Jun"/>
        <s v="Jul"/>
      </sharedItems>
    </cacheField>
    <cacheField name="[Measures].[Average of Daily Growth % 2]" caption="Average of Daily Growth % 2" numFmtId="0" hierarchy="55" level="32767"/>
  </cacheFields>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2"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0"/>
      </fieldsUsage>
    </cacheHierarchy>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1" uniqueName="[Range 1]" caption="Range 1"/>
    <dimension name="Table3" uniqueName="[Table3]" caption="Table3"/>
  </dimensions>
  <measureGroups count="2">
    <measureGroup name="Range 1" caption="Range 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y" refreshedDate="46190.600506134258" backgroundQuery="1" createdVersion="3" refreshedVersion="8" minRefreshableVersion="3" recordCount="0" supportSubquery="1" supportAdvancedDrill="1" xr:uid="{EC4597A9-FC41-49DD-87AA-3548A92D1540}">
  <cacheSource type="external" connectionId="3">
    <extLst>
      <ext xmlns:x14="http://schemas.microsoft.com/office/spreadsheetml/2009/9/main" uri="{F057638F-6D5F-4e77-A914-E7F072B9BCA8}">
        <x14:sourceConnection name="ThisWorkbookDataModel"/>
      </ext>
    </extLst>
  </cacheSource>
  <cacheFields count="0"/>
  <cacheHierarchies count="67">
    <cacheHierarchy uniqueName="[Range 1].[Date]" caption="Date" attribute="1" time="1" defaultMemberUniqueName="[Range 1].[Date].[All]" allUniqueName="[Range 1].[Date].[All]" dimensionUniqueName="[Range 1]" displayFolder="" count="0" memberValueDatatype="7" unbalanced="0"/>
    <cacheHierarchy uniqueName="[Range 1].[Confirmed]" caption="Confirmed" attribute="1" defaultMemberUniqueName="[Range 1].[Confirmed].[All]" allUniqueName="[Range 1].[Confirmed].[All]" dimensionUniqueName="[Range 1]" displayFolder="" count="0" memberValueDatatype="20" unbalanced="0"/>
    <cacheHierarchy uniqueName="[Range 1].[Deaths]" caption="Deaths" attribute="1" defaultMemberUniqueName="[Range 1].[Deaths].[All]" allUniqueName="[Range 1].[Deaths].[All]" dimensionUniqueName="[Range 1]" displayFolder="" count="0" memberValueDatatype="20" unbalanced="0"/>
    <cacheHierarchy uniqueName="[Range 1].[Recovered]" caption="Recovered" attribute="1" defaultMemberUniqueName="[Range 1].[Recovered].[All]" allUniqueName="[Range 1].[Recovered].[All]" dimensionUniqueName="[Range 1]" displayFolder="" count="0" memberValueDatatype="20" unbalanced="0"/>
    <cacheHierarchy uniqueName="[Range 1].[Active]" caption="Active" attribute="1" defaultMemberUniqueName="[Range 1].[Active].[All]" allUniqueName="[Range 1].[Active].[All]" dimensionUniqueName="[Range 1]" displayFolder="" count="0" memberValueDatatype="20" unbalanced="0"/>
    <cacheHierarchy uniqueName="[Range 1].[New cases]" caption="New cases" attribute="1" defaultMemberUniqueName="[Range 1].[New cases].[All]" allUniqueName="[Range 1].[New cases].[All]" dimensionUniqueName="[Range 1]" displayFolder="" count="0" memberValueDatatype="20" unbalanced="0"/>
    <cacheHierarchy uniqueName="[Range 1].[New deaths]" caption="New deaths" attribute="1" defaultMemberUniqueName="[Range 1].[New deaths].[All]" allUniqueName="[Range 1].[New deaths].[All]" dimensionUniqueName="[Range 1]" displayFolder="" count="0" memberValueDatatype="20" unbalanced="0"/>
    <cacheHierarchy uniqueName="[Range 1].[New recovered]" caption="New recovered" attribute="1" defaultMemberUniqueName="[Range 1].[New recovered].[All]" allUniqueName="[Range 1].[New recovered].[All]" dimensionUniqueName="[Range 1]" displayFolder="" count="0" memberValueDatatype="20" unbalanced="0"/>
    <cacheHierarchy uniqueName="[Range 1].[Deaths / 100 Cases]" caption="Deaths / 100 Cases" attribute="1" defaultMemberUniqueName="[Range 1].[Deaths / 100 Cases].[All]" allUniqueName="[Range 1].[Deaths / 100 Cases].[All]" dimensionUniqueName="[Range 1]" displayFolder="" count="0" memberValueDatatype="5" unbalanced="0"/>
    <cacheHierarchy uniqueName="[Range 1].[Recovered / 100 Cases]" caption="Recovered / 100 Cases" attribute="1" defaultMemberUniqueName="[Range 1].[Recovered / 100 Cases].[All]" allUniqueName="[Range 1].[Recovered / 100 Cases].[All]" dimensionUniqueName="[Range 1]" displayFolder="" count="0" memberValueDatatype="5" unbalanced="0"/>
    <cacheHierarchy uniqueName="[Range 1].[Deaths / 100 Recovered]" caption="Deaths / 100 Recovered" attribute="1" defaultMemberUniqueName="[Range 1].[Deaths / 100 Recovered].[All]" allUniqueName="[Range 1].[Deaths / 100 Recovered].[All]" dimensionUniqueName="[Range 1]" displayFolder="" count="0" memberValueDatatype="5" unbalanced="0"/>
    <cacheHierarchy uniqueName="[Range 1].[No. of countries]" caption="No. of countries" attribute="1" defaultMemberUniqueName="[Range 1].[No. of countries].[All]" allUniqueName="[Range 1].[No. of countries].[All]" dimensionUniqueName="[Range 1]" displayFolder="" count="0" memberValueDatatype="20" unbalanced="0"/>
    <cacheHierarchy uniqueName="[Range 1].[FOR KPIs]" caption="FOR KPIs" attribute="1" defaultMemberUniqueName="[Range 1].[FOR KPIs].[All]" allUniqueName="[Range 1].[FOR KPIs].[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Table3].[Date]" caption="Date" attribute="1" time="1" defaultMemberUniqueName="[Table3].[Date].[All]" allUniqueName="[Table3].[Date].[All]" dimensionUniqueName="[Table3]" displayFolder="" count="0" memberValueDatatype="7" unbalanced="0"/>
    <cacheHierarchy uniqueName="[Table3].[Confirmed Cases]" caption="Confirmed Cases" attribute="1" defaultMemberUniqueName="[Table3].[Confirmed Cases].[All]" allUniqueName="[Table3].[Confirmed Cases].[All]" dimensionUniqueName="[Table3]" displayFolder="" count="0" memberValueDatatype="20" unbalanced="0"/>
    <cacheHierarchy uniqueName="[Table3].[Total Deaths]" caption="Total Deaths" attribute="1" defaultMemberUniqueName="[Table3].[Total Deaths].[All]" allUniqueName="[Table3].[Total Deaths].[All]" dimensionUniqueName="[Table3]" displayFolder="" count="0" memberValueDatatype="20" unbalanced="0"/>
    <cacheHierarchy uniqueName="[Table3].[Total Recovered Cases]" caption="Total Recovered Cases" attribute="1" defaultMemberUniqueName="[Table3].[Total Recovered Cases].[All]" allUniqueName="[Table3].[Total Recovered Cases].[All]" dimensionUniqueName="[Table3]" displayFolder="" count="0" memberValueDatatype="20" unbalanced="0"/>
    <cacheHierarchy uniqueName="[Table3].[Active Cases]" caption="Active Cases" attribute="1" defaultMemberUniqueName="[Table3].[Active Cases].[All]" allUniqueName="[Table3].[Active Cases].[All]" dimensionUniqueName="[Table3]" displayFolder="" count="0" memberValueDatatype="20" unbalanced="0"/>
    <cacheHierarchy uniqueName="[Table3].[New cases]" caption="New cases" attribute="1" defaultMemberUniqueName="[Table3].[New cases].[All]" allUniqueName="[Table3].[New cases].[All]" dimensionUniqueName="[Table3]" displayFolder="" count="0" memberValueDatatype="20" unbalanced="0"/>
    <cacheHierarchy uniqueName="[Table3].[New deaths]" caption="New deaths" attribute="1" defaultMemberUniqueName="[Table3].[New deaths].[All]" allUniqueName="[Table3].[New deaths].[All]" dimensionUniqueName="[Table3]" displayFolder="" count="0" memberValueDatatype="20" unbalanced="0"/>
    <cacheHierarchy uniqueName="[Table3].[New recovered]" caption="New recovered" attribute="1" defaultMemberUniqueName="[Table3].[New recovered].[All]" allUniqueName="[Table3].[New recovered].[All]" dimensionUniqueName="[Table3]" displayFolder="" count="0" memberValueDatatype="20" unbalanced="0"/>
    <cacheHierarchy uniqueName="[Table3].[Deaths / 100 Cases]" caption="Deaths / 100 Cases" attribute="1" defaultMemberUniqueName="[Table3].[Deaths / 100 Cases].[All]" allUniqueName="[Table3].[Deaths / 100 Cases].[All]" dimensionUniqueName="[Table3]" displayFolder="" count="0" memberValueDatatype="20" unbalanced="0"/>
    <cacheHierarchy uniqueName="[Table3].[Recovered / 100 Cases]" caption="Recovered / 100 Cases" attribute="1" defaultMemberUniqueName="[Table3].[Recovered / 100 Cases].[All]" allUniqueName="[Table3].[Recovered / 100 Cases].[All]" dimensionUniqueName="[Table3]" displayFolder="" count="0" memberValueDatatype="20" unbalanced="0"/>
    <cacheHierarchy uniqueName="[Table3].[Deaths / 100 Recovered %]" caption="Deaths / 100 Recovered %" attribute="1" defaultMemberUniqueName="[Table3].[Deaths / 100 Recovered %].[All]" allUniqueName="[Table3].[Deaths / 100 Recovered %].[All]" dimensionUniqueName="[Table3]" displayFolder="" count="0" memberValueDatatype="20" unbalanced="0"/>
    <cacheHierarchy uniqueName="[Table3].[No. of countries]" caption="No. of countries" attribute="1" defaultMemberUniqueName="[Table3].[No. of countries].[All]" allUniqueName="[Table3].[No. of countries].[All]" dimensionUniqueName="[Table3]" displayFolder="" count="0" memberValueDatatype="20" unbalanced="0"/>
    <cacheHierarchy uniqueName="[Table3].[Daily Growth %]" caption="Daily Growth %" attribute="1" defaultMemberUniqueName="[Table3].[Daily Growth %].[All]" allUniqueName="[Table3].[Daily Growth %].[All]" dimensionUniqueName="[Table3]" displayFolder="" count="0" memberValueDatatype="5" unbalanced="0"/>
    <cacheHierarchy uniqueName="[Table3].[Date (Month)]" caption="Date (Month)" attribute="1" defaultMemberUniqueName="[Table3].[Date (Month)].[All]" allUniqueName="[Table3].[Date (Month)].[All]" dimensionUniqueName="[Table3]" displayFolder="" count="2" memberValueDatatype="130"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Recovery Rate %]" caption="Recovery Rate %" attribute="1" defaultMemberUniqueName="[Table3].[Recovery Rate %].[All]" allUniqueName="[Table3].[Recovery Rate %].[All]" dimensionUniqueName="[Table3]" displayFolder="" count="0" memberValueDatatype="5" unbalanced="0"/>
    <cacheHierarchy uniqueName="[Table3].[Mortality Rate %]" caption="Mortality Rate %" attribute="1" defaultMemberUniqueName="[Table3].[Mortality Rate %].[All]" allUniqueName="[Table3].[Mortality Rate %].[All]" dimensionUniqueName="[Table3]"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Recovery ratee]" caption="Recovery ratee" measure="1" displayFolder="" measureGroup="Table3" count="0"/>
    <cacheHierarchy uniqueName="[Measures].[Mortality Rate]" caption="Mortality Rate" measure="1" displayFolder="" measureGroup="Table3" count="0"/>
    <cacheHierarchy uniqueName="[Measures].[__XL_Count Table3]" caption="__XL_Count Table3" measure="1" displayFolder="" measureGroup="Table3"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onfirmed Cases]" caption="Sum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Sum of Total Deaths]" caption="Sum of Total Deaths" measure="1" displayFolder="" measureGroup="Table3" count="0" hidden="1">
      <extLst>
        <ext xmlns:x15="http://schemas.microsoft.com/office/spreadsheetml/2010/11/main" uri="{B97F6D7D-B522-45F9-BDA1-12C45D357490}">
          <x15:cacheHierarchy aggregatedColumn="16"/>
        </ext>
      </extLst>
    </cacheHierarchy>
    <cacheHierarchy uniqueName="[Measures].[Sum of Total Recovered Cases]" caption="Sum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Sum of Active Cases]" caption="Sum of Active Cases" measure="1" displayFolder="" measureGroup="Table3" count="0" hidden="1">
      <extLst>
        <ext xmlns:x15="http://schemas.microsoft.com/office/spreadsheetml/2010/11/main" uri="{B97F6D7D-B522-45F9-BDA1-12C45D357490}">
          <x15:cacheHierarchy aggregatedColumn="18"/>
        </ext>
      </extLst>
    </cacheHierarchy>
    <cacheHierarchy uniqueName="[Measures].[Sum of New cases]" caption="Sum of New cases" measure="1" displayFolder="" measureGroup="Table3" count="0" hidden="1">
      <extLst>
        <ext xmlns:x15="http://schemas.microsoft.com/office/spreadsheetml/2010/11/main" uri="{B97F6D7D-B522-45F9-BDA1-12C45D357490}">
          <x15:cacheHierarchy aggregatedColumn="19"/>
        </ext>
      </extLst>
    </cacheHierarchy>
    <cacheHierarchy uniqueName="[Measures].[Sum of New deaths]" caption="Sum of New deaths" measure="1" displayFolder="" measureGroup="Table3" count="0" hidden="1">
      <extLst>
        <ext xmlns:x15="http://schemas.microsoft.com/office/spreadsheetml/2010/11/main" uri="{B97F6D7D-B522-45F9-BDA1-12C45D357490}">
          <x15:cacheHierarchy aggregatedColumn="20"/>
        </ext>
      </extLst>
    </cacheHierarchy>
    <cacheHierarchy uniqueName="[Measures].[Sum of New recovered]" caption="Sum of New recovered" measure="1" displayFolder="" measureGroup="Table3" count="0" hidden="1">
      <extLst>
        <ext xmlns:x15="http://schemas.microsoft.com/office/spreadsheetml/2010/11/main" uri="{B97F6D7D-B522-45F9-BDA1-12C45D357490}">
          <x15:cacheHierarchy aggregatedColumn="21"/>
        </ext>
      </extLst>
    </cacheHierarchy>
    <cacheHierarchy uniqueName="[Measures].[Sum of No. of countries]" caption="Sum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Max of No. of countries]" caption="Max of No. of countries" measure="1" displayFolder="" measureGroup="Table3" count="0" hidden="1">
      <extLst>
        <ext xmlns:x15="http://schemas.microsoft.com/office/spreadsheetml/2010/11/main" uri="{B97F6D7D-B522-45F9-BDA1-12C45D357490}">
          <x15:cacheHierarchy aggregatedColumn="25"/>
        </ext>
      </extLst>
    </cacheHierarchy>
    <cacheHierarchy uniqueName="[Measures].[Sum of Deaths / 100 Cases]" caption="Sum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Sum of Recovered / 100 Cases]" caption="Sum of Recovered / 100 Cases" measure="1" displayFolder="" measureGroup="Table3" count="0" hidden="1">
      <extLst>
        <ext xmlns:x15="http://schemas.microsoft.com/office/spreadsheetml/2010/11/main" uri="{B97F6D7D-B522-45F9-BDA1-12C45D357490}">
          <x15:cacheHierarchy aggregatedColumn="23"/>
        </ext>
      </extLst>
    </cacheHierarchy>
    <cacheHierarchy uniqueName="[Measures].[Sum of Deaths / 100 Recovered %]" caption="Sum of Deaths / 100 Recovered %" measure="1" displayFolder="" measureGroup="Table3" count="0" hidden="1">
      <extLst>
        <ext xmlns:x15="http://schemas.microsoft.com/office/spreadsheetml/2010/11/main" uri="{B97F6D7D-B522-45F9-BDA1-12C45D357490}">
          <x15:cacheHierarchy aggregatedColumn="24"/>
        </ext>
      </extLst>
    </cacheHierarchy>
    <cacheHierarchy uniqueName="[Measures].[Average of Deaths / 100 Cases]" caption="Average of Deaths / 100 Cases" measure="1" displayFolder="" measureGroup="Table3" count="0" hidden="1">
      <extLst>
        <ext xmlns:x15="http://schemas.microsoft.com/office/spreadsheetml/2010/11/main" uri="{B97F6D7D-B522-45F9-BDA1-12C45D357490}">
          <x15:cacheHierarchy aggregatedColumn="22"/>
        </ext>
      </extLst>
    </cacheHierarchy>
    <cacheHierarchy uniqueName="[Measures].[Max of Active Cases 2]" caption="Max of Active Cases 2" measure="1" displayFolder="" measureGroup="Table3" count="0" hidden="1">
      <extLst>
        <ext xmlns:x15="http://schemas.microsoft.com/office/spreadsheetml/2010/11/main" uri="{B97F6D7D-B522-45F9-BDA1-12C45D357490}">
          <x15:cacheHierarchy aggregatedColumn="18"/>
        </ext>
      </extLst>
    </cacheHierarchy>
    <cacheHierarchy uniqueName="[Measures].[Sum of Daily Growth % 2]" caption="Sum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Average of Daily Growth % 2]" caption="Average of Daily Growth % 2" measure="1" displayFolder="" measureGroup="Table3" count="0" hidden="1">
      <extLst>
        <ext xmlns:x15="http://schemas.microsoft.com/office/spreadsheetml/2010/11/main" uri="{B97F6D7D-B522-45F9-BDA1-12C45D357490}">
          <x15:cacheHierarchy aggregatedColumn="26"/>
        </ext>
      </extLst>
    </cacheHierarchy>
    <cacheHierarchy uniqueName="[Measures].[Sum of Confirmed]" caption="Sum of Confirmed" measure="1" displayFolder="" measureGroup="Range 1" count="0" hidden="1">
      <extLst>
        <ext xmlns:x15="http://schemas.microsoft.com/office/spreadsheetml/2010/11/main" uri="{B97F6D7D-B522-45F9-BDA1-12C45D357490}">
          <x15:cacheHierarchy aggregatedColumn="1"/>
        </ext>
      </extLst>
    </cacheHierarchy>
    <cacheHierarchy uniqueName="[Measures].[Sum of Deaths]" caption="Sum of Deaths" measure="1" displayFolder="" measureGroup="Range 1" count="0" hidden="1">
      <extLst>
        <ext xmlns:x15="http://schemas.microsoft.com/office/spreadsheetml/2010/11/main" uri="{B97F6D7D-B522-45F9-BDA1-12C45D357490}">
          <x15:cacheHierarchy aggregatedColumn="2"/>
        </ext>
      </extLst>
    </cacheHierarchy>
    <cacheHierarchy uniqueName="[Measures].[Sum of Recovered]" caption="Sum of Recovered" measure="1" displayFolder="" measureGroup="Range 1" count="0" hidden="1">
      <extLst>
        <ext xmlns:x15="http://schemas.microsoft.com/office/spreadsheetml/2010/11/main" uri="{B97F6D7D-B522-45F9-BDA1-12C45D357490}">
          <x15:cacheHierarchy aggregatedColumn="3"/>
        </ext>
      </extLst>
    </cacheHierarchy>
    <cacheHierarchy uniqueName="[Measures].[Count of FOR KPIs]" caption="Count of FOR KPIs" measure="1" displayFolder="" measureGroup="Range 1" count="0" hidden="1">
      <extLst>
        <ext xmlns:x15="http://schemas.microsoft.com/office/spreadsheetml/2010/11/main" uri="{B97F6D7D-B522-45F9-BDA1-12C45D357490}">
          <x15:cacheHierarchy aggregatedColumn="12"/>
        </ext>
      </extLst>
    </cacheHierarchy>
    <cacheHierarchy uniqueName="[Measures].[Max of Total Recovered Cases]" caption="Max of Total Recovered Cases" measure="1" displayFolder="" measureGroup="Table3" count="0" hidden="1">
      <extLst>
        <ext xmlns:x15="http://schemas.microsoft.com/office/spreadsheetml/2010/11/main" uri="{B97F6D7D-B522-45F9-BDA1-12C45D357490}">
          <x15:cacheHierarchy aggregatedColumn="17"/>
        </ext>
      </extLst>
    </cacheHierarchy>
    <cacheHierarchy uniqueName="[Measures].[Max of Total Deaths]" caption="Max of Total Deaths" measure="1" displayFolder="" measureGroup="Table3" count="0" hidden="1">
      <extLst>
        <ext xmlns:x15="http://schemas.microsoft.com/office/spreadsheetml/2010/11/main" uri="{B97F6D7D-B522-45F9-BDA1-12C45D357490}">
          <x15:cacheHierarchy aggregatedColumn="16"/>
        </ext>
      </extLst>
    </cacheHierarchy>
    <cacheHierarchy uniqueName="[Measures].[Max of Confirmed Cases]" caption="Max of Confirmed Cases" measure="1" displayFolder="" measureGroup="Table3"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3" count="0" hidden="1">
      <extLst>
        <ext xmlns:x15="http://schemas.microsoft.com/office/spreadsheetml/2010/11/main" uri="{B97F6D7D-B522-45F9-BDA1-12C45D357490}">
          <x15:cacheHierarchy aggregatedColumn="14"/>
        </ext>
      </extLst>
    </cacheHierarchy>
    <cacheHierarchy uniqueName="[Measures].[Max of New cases]" caption="Max of New cases" measure="1" displayFolder="" measureGroup="Table3" count="0" hidden="1">
      <extLst>
        <ext xmlns:x15="http://schemas.microsoft.com/office/spreadsheetml/2010/11/main" uri="{B97F6D7D-B522-45F9-BDA1-12C45D357490}">
          <x15:cacheHierarchy aggregatedColumn="19"/>
        </ext>
      </extLst>
    </cacheHierarchy>
    <cacheHierarchy uniqueName="[Measures].[Max of New deaths]" caption="Max of New deaths" measure="1" displayFolder="" measureGroup="Table3" count="0" hidden="1">
      <extLst>
        <ext xmlns:x15="http://schemas.microsoft.com/office/spreadsheetml/2010/11/main" uri="{B97F6D7D-B522-45F9-BDA1-12C45D357490}">
          <x15:cacheHierarchy aggregatedColumn="20"/>
        </ext>
      </extLst>
    </cacheHierarchy>
    <cacheHierarchy uniqueName="[Measures].[Max of New recovered]" caption="Max of New recovered" measure="1" displayFolder="" measureGroup="Table3"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968076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
  <r>
    <x v="0"/>
    <n v="555"/>
    <n v="17"/>
    <n v="28"/>
    <n v="510"/>
    <n v="3"/>
    <n v="3"/>
    <n v="3"/>
    <n v="3"/>
    <n v="5"/>
    <n v="61"/>
    <n v="6"/>
    <n v="0"/>
    <n v="5.045045045045045"/>
    <n v="3.063063063063063E-2"/>
    <s v="NO"/>
  </r>
  <r>
    <x v="1"/>
    <n v="654"/>
    <n v="18"/>
    <n v="30"/>
    <n v="606"/>
    <n v="99"/>
    <n v="1"/>
    <n v="2"/>
    <n v="3"/>
    <n v="5"/>
    <n v="60"/>
    <n v="8"/>
    <n v="15.1376146788991"/>
    <n v="4.5871559633027523"/>
    <n v="2.7522935779816515E-2"/>
    <s v="NO"/>
  </r>
  <r>
    <x v="2"/>
    <n v="941"/>
    <n v="26"/>
    <n v="36"/>
    <n v="879"/>
    <n v="287"/>
    <n v="8"/>
    <n v="6"/>
    <n v="3"/>
    <n v="4"/>
    <n v="72"/>
    <n v="9"/>
    <n v="30.499468650371998"/>
    <n v="3.8257173219978751"/>
    <n v="2.763018065887354E-2"/>
    <s v="NO"/>
  </r>
  <r>
    <x v="3"/>
    <n v="1434"/>
    <n v="42"/>
    <n v="39"/>
    <n v="1353"/>
    <n v="493"/>
    <n v="16"/>
    <n v="3"/>
    <n v="3"/>
    <n v="3"/>
    <n v="108"/>
    <n v="11"/>
    <n v="34.379358437935799"/>
    <n v="2.7196652719665275"/>
    <n v="2.9288702928870293E-2"/>
    <s v="NO"/>
  </r>
  <r>
    <x v="4"/>
    <n v="2118"/>
    <n v="56"/>
    <n v="52"/>
    <n v="2010"/>
    <n v="684"/>
    <n v="14"/>
    <n v="13"/>
    <n v="3"/>
    <n v="2"/>
    <n v="108"/>
    <n v="13"/>
    <n v="32.294617563739401"/>
    <n v="2.4551463644948064"/>
    <n v="2.644003777148253E-2"/>
    <s v="NO"/>
  </r>
  <r>
    <x v="5"/>
    <n v="2927"/>
    <n v="82"/>
    <n v="61"/>
    <n v="2784"/>
    <n v="809"/>
    <n v="26"/>
    <n v="9"/>
    <n v="3"/>
    <n v="2"/>
    <n v="134"/>
    <n v="16"/>
    <n v="27.639221045439001"/>
    <n v="2.0840450973693203"/>
    <n v="2.8015032456440041E-2"/>
    <s v="NO"/>
  </r>
  <r>
    <x v="6"/>
    <n v="5578"/>
    <n v="131"/>
    <n v="107"/>
    <n v="5340"/>
    <n v="2651"/>
    <n v="49"/>
    <n v="46"/>
    <n v="2"/>
    <n v="2"/>
    <n v="122"/>
    <n v="16"/>
    <n v="47.525994980279698"/>
    <n v="1.9182502689135892"/>
    <n v="2.3485120114736465E-2"/>
    <s v="NO"/>
  </r>
  <r>
    <x v="7"/>
    <n v="6166"/>
    <n v="133"/>
    <n v="125"/>
    <n v="5908"/>
    <n v="588"/>
    <n v="2"/>
    <n v="18"/>
    <n v="2"/>
    <n v="2"/>
    <n v="106"/>
    <n v="18"/>
    <n v="9.5361660720077808"/>
    <n v="2.0272461887771649"/>
    <n v="2.1569899448589037E-2"/>
    <s v="NO"/>
  </r>
  <r>
    <x v="8"/>
    <n v="8234"/>
    <n v="171"/>
    <n v="141"/>
    <n v="7922"/>
    <n v="2068"/>
    <n v="38"/>
    <n v="16"/>
    <n v="2"/>
    <n v="2"/>
    <n v="121"/>
    <n v="20"/>
    <n v="25.1153752732572"/>
    <n v="1.7124119504493562"/>
    <n v="2.0767549186300704E-2"/>
    <s v="NO"/>
  </r>
  <r>
    <x v="9"/>
    <n v="9927"/>
    <n v="213"/>
    <n v="219"/>
    <n v="9495"/>
    <n v="1693"/>
    <n v="42"/>
    <n v="78"/>
    <n v="2"/>
    <n v="2"/>
    <n v="97"/>
    <n v="24"/>
    <n v="17.054497834189601"/>
    <n v="2.206104563312179"/>
    <n v="2.1456633423995165E-2"/>
    <s v="NO"/>
  </r>
  <r>
    <x v="10"/>
    <n v="12038"/>
    <n v="259"/>
    <n v="281"/>
    <n v="11498"/>
    <n v="2111"/>
    <n v="46"/>
    <n v="62"/>
    <n v="2"/>
    <n v="2"/>
    <n v="92"/>
    <n v="25"/>
    <n v="17.536135570692799"/>
    <n v="2.3342747964778203"/>
    <n v="2.1515201860774213E-2"/>
    <s v="NO"/>
  </r>
  <r>
    <x v="11"/>
    <n v="16787"/>
    <n v="362"/>
    <n v="459"/>
    <n v="15966"/>
    <n v="4749"/>
    <n v="103"/>
    <n v="178"/>
    <n v="2"/>
    <n v="3"/>
    <n v="79"/>
    <n v="25"/>
    <n v="28.2897480193006"/>
    <n v="2.7342586525287422"/>
    <n v="2.1564305712753917E-2"/>
    <s v="NO"/>
  </r>
  <r>
    <x v="12"/>
    <n v="19887"/>
    <n v="426"/>
    <n v="604"/>
    <n v="18857"/>
    <n v="3100"/>
    <n v="64"/>
    <n v="145"/>
    <n v="2"/>
    <n v="3"/>
    <n v="71"/>
    <n v="25"/>
    <n v="15.588072610247901"/>
    <n v="3.0371599537386231"/>
    <n v="2.1421028812792276E-2"/>
    <s v="NO"/>
  </r>
  <r>
    <x v="13"/>
    <n v="23898"/>
    <n v="492"/>
    <n v="821"/>
    <n v="22585"/>
    <n v="4011"/>
    <n v="66"/>
    <n v="217"/>
    <n v="2"/>
    <n v="3"/>
    <n v="60"/>
    <n v="26"/>
    <n v="16.783831282952502"/>
    <n v="3.4354339275253158"/>
    <n v="2.0587496861662065E-2"/>
    <s v="NO"/>
  </r>
  <r>
    <x v="14"/>
    <n v="27643"/>
    <n v="564"/>
    <n v="1071"/>
    <n v="26008"/>
    <n v="3745"/>
    <n v="72"/>
    <n v="250"/>
    <n v="2"/>
    <n v="4"/>
    <n v="53"/>
    <n v="26"/>
    <n v="13.5477336034439"/>
    <n v="3.8743985819194733"/>
    <n v="2.0402995333357449E-2"/>
    <s v="NO"/>
  </r>
  <r>
    <x v="15"/>
    <n v="30802"/>
    <n v="634"/>
    <n v="1418"/>
    <n v="28750"/>
    <n v="3159"/>
    <n v="70"/>
    <n v="347"/>
    <n v="2"/>
    <n v="5"/>
    <n v="45"/>
    <n v="26"/>
    <n v="10.255827543665999"/>
    <n v="4.603597169014999"/>
    <n v="2.0583079020842804E-2"/>
    <s v="NO"/>
  </r>
  <r>
    <x v="16"/>
    <n v="34334"/>
    <n v="719"/>
    <n v="1903"/>
    <n v="31712"/>
    <n v="3532"/>
    <n v="85"/>
    <n v="485"/>
    <n v="2"/>
    <n v="6"/>
    <n v="38"/>
    <n v="26"/>
    <n v="10.287178889730299"/>
    <n v="5.5426108230908131"/>
    <n v="2.0941340944836021E-2"/>
    <s v="NO"/>
  </r>
  <r>
    <x v="17"/>
    <n v="37068"/>
    <n v="806"/>
    <n v="2470"/>
    <n v="33792"/>
    <n v="2734"/>
    <n v="87"/>
    <n v="567"/>
    <n v="2"/>
    <n v="7"/>
    <n v="33"/>
    <n v="26"/>
    <n v="7.37563397000108"/>
    <n v="6.6634293730441359"/>
    <n v="2.1743822164670336E-2"/>
    <s v="NO"/>
  </r>
  <r>
    <x v="18"/>
    <n v="40095"/>
    <n v="906"/>
    <n v="3057"/>
    <n v="36132"/>
    <n v="3027"/>
    <n v="100"/>
    <n v="587"/>
    <n v="2"/>
    <n v="8"/>
    <n v="30"/>
    <n v="26"/>
    <n v="7.5495697717920001"/>
    <n v="7.6243920688365137"/>
    <n v="2.2596333707444818E-2"/>
    <s v="NO"/>
  </r>
  <r>
    <x v="19"/>
    <n v="42633"/>
    <n v="1013"/>
    <n v="3714"/>
    <n v="37906"/>
    <n v="2538"/>
    <n v="107"/>
    <n v="657"/>
    <n v="2"/>
    <n v="9"/>
    <n v="27"/>
    <n v="26"/>
    <n v="5.9531348955034797"/>
    <n v="8.7115614664696359"/>
    <n v="2.37609363638496E-2"/>
    <s v="NO"/>
  </r>
  <r>
    <x v="20"/>
    <n v="44675"/>
    <n v="1113"/>
    <n v="4417"/>
    <n v="39145"/>
    <n v="2042"/>
    <n v="100"/>
    <n v="703"/>
    <n v="2"/>
    <n v="10"/>
    <n v="25"/>
    <n v="26"/>
    <n v="4.5707890318970401"/>
    <n v="9.8869613878007829"/>
    <n v="2.4913262451035256E-2"/>
    <s v="NO"/>
  </r>
  <r>
    <x v="21"/>
    <n v="46561"/>
    <n v="1118"/>
    <n v="4849"/>
    <n v="40594"/>
    <n v="1886"/>
    <n v="5"/>
    <n v="432"/>
    <n v="2"/>
    <n v="10"/>
    <n v="23"/>
    <n v="26"/>
    <n v="4.0506002877945102"/>
    <n v="10.414295225618005"/>
    <n v="2.401151178024527E-2"/>
    <s v="NO"/>
  </r>
  <r>
    <x v="22"/>
    <n v="60206"/>
    <n v="1371"/>
    <n v="5930"/>
    <n v="52905"/>
    <n v="13645"/>
    <n v="253"/>
    <n v="1081"/>
    <n v="2"/>
    <n v="10"/>
    <n v="23"/>
    <n v="26"/>
    <n v="22.663854100920201"/>
    <n v="9.8495166594691561"/>
    <n v="2.2771816762448924E-2"/>
    <s v="NO"/>
  </r>
  <r>
    <x v="23"/>
    <n v="66690"/>
    <n v="1523"/>
    <n v="7613"/>
    <n v="57554"/>
    <n v="6484"/>
    <n v="152"/>
    <n v="1683"/>
    <n v="2"/>
    <n v="11"/>
    <n v="20"/>
    <n v="27"/>
    <n v="9.7225970910181392"/>
    <n v="11.415504573399311"/>
    <n v="2.2837007047533362E-2"/>
    <s v="NO"/>
  </r>
  <r>
    <x v="24"/>
    <n v="68765"/>
    <n v="1666"/>
    <n v="8902"/>
    <n v="58197"/>
    <n v="2075"/>
    <n v="143"/>
    <n v="1289"/>
    <n v="2"/>
    <n v="13"/>
    <n v="19"/>
    <n v="27"/>
    <n v="3.0175234494292198"/>
    <n v="12.945539155093433"/>
    <n v="2.42274412855377E-2"/>
    <s v="NO"/>
  </r>
  <r>
    <x v="25"/>
    <n v="70879"/>
    <n v="1770"/>
    <n v="10319"/>
    <n v="58790"/>
    <n v="2114"/>
    <n v="104"/>
    <n v="1417"/>
    <n v="2"/>
    <n v="15"/>
    <n v="17"/>
    <n v="27"/>
    <n v="2.9825477221744099"/>
    <n v="14.558613975930811"/>
    <n v="2.4972135611394067E-2"/>
    <s v="NO"/>
  </r>
  <r>
    <x v="26"/>
    <n v="72815"/>
    <n v="1868"/>
    <n v="11951"/>
    <n v="58996"/>
    <n v="1936"/>
    <n v="98"/>
    <n v="1632"/>
    <n v="3"/>
    <n v="16"/>
    <n v="16"/>
    <n v="27"/>
    <n v="2.65879283114743"/>
    <n v="16.412827027398201"/>
    <n v="2.5654054796401839E-2"/>
    <s v="NO"/>
  </r>
  <r>
    <x v="27"/>
    <n v="74609"/>
    <n v="2008"/>
    <n v="13693"/>
    <n v="58908"/>
    <n v="1794"/>
    <n v="140"/>
    <n v="1742"/>
    <n v="3"/>
    <n v="18"/>
    <n v="15"/>
    <n v="27"/>
    <n v="2.4045356458336098"/>
    <n v="18.353013711482529"/>
    <n v="2.6913643126164403E-2"/>
    <s v="NO"/>
  </r>
  <r>
    <x v="28"/>
    <n v="75030"/>
    <n v="2123"/>
    <n v="15394"/>
    <n v="57513"/>
    <n v="421"/>
    <n v="115"/>
    <n v="1701"/>
    <n v="3"/>
    <n v="21"/>
    <n v="14"/>
    <n v="28"/>
    <n v="0.56110888977742202"/>
    <n v="20.517126482740235"/>
    <n v="2.8295348527255765E-2"/>
    <s v="NO"/>
  </r>
  <r>
    <x v="29"/>
    <n v="75577"/>
    <n v="2246"/>
    <n v="17369"/>
    <n v="55962"/>
    <n v="547"/>
    <n v="123"/>
    <n v="1975"/>
    <n v="3"/>
    <n v="23"/>
    <n v="13"/>
    <n v="28"/>
    <n v="0.72376516665123003"/>
    <n v="22.981859560448285"/>
    <n v="2.9718035910396019E-2"/>
    <s v="NO"/>
  </r>
  <r>
    <x v="30"/>
    <n v="76206"/>
    <n v="2250"/>
    <n v="17966"/>
    <n v="55990"/>
    <n v="629"/>
    <n v="4"/>
    <n v="597"/>
    <n v="3"/>
    <n v="24"/>
    <n v="13"/>
    <n v="30"/>
    <n v="0.82539432590609696"/>
    <n v="23.575571477311495"/>
    <n v="2.9525234233524919E-2"/>
    <s v="NO"/>
  </r>
  <r>
    <x v="31"/>
    <n v="77967"/>
    <n v="2457"/>
    <n v="21849"/>
    <n v="53661"/>
    <n v="1761"/>
    <n v="207"/>
    <n v="3883"/>
    <n v="3"/>
    <n v="28"/>
    <n v="11"/>
    <n v="30"/>
    <n v="2.2586478894917099"/>
    <n v="28.02339451306322"/>
    <n v="3.1513332563776981E-2"/>
    <s v="NO"/>
  </r>
  <r>
    <x v="32"/>
    <n v="78290"/>
    <n v="2467"/>
    <n v="22304"/>
    <n v="53519"/>
    <n v="323"/>
    <n v="10"/>
    <n v="455"/>
    <n v="3"/>
    <n v="28"/>
    <n v="11"/>
    <n v="31"/>
    <n v="0.412568655000639"/>
    <n v="28.488951334780943"/>
    <n v="3.151104866521906E-2"/>
    <s v="NO"/>
  </r>
  <r>
    <x v="33"/>
    <n v="78854"/>
    <n v="2627"/>
    <n v="24047"/>
    <n v="52180"/>
    <n v="564"/>
    <n v="160"/>
    <n v="1743"/>
    <n v="3"/>
    <n v="30"/>
    <n v="11"/>
    <n v="36"/>
    <n v="0.71524589748142098"/>
    <n v="30.495599462297413"/>
    <n v="3.3314733558221524E-2"/>
    <s v="NO"/>
  </r>
  <r>
    <x v="34"/>
    <n v="79707"/>
    <n v="2707"/>
    <n v="26652"/>
    <n v="50348"/>
    <n v="853"/>
    <n v="80"/>
    <n v="2605"/>
    <n v="3"/>
    <n v="33"/>
    <n v="10"/>
    <n v="41"/>
    <n v="1.0701694957782899"/>
    <n v="33.437464714516921"/>
    <n v="3.3961885405296897E-2"/>
    <s v="NO"/>
  </r>
  <r>
    <x v="35"/>
    <n v="80670"/>
    <n v="2767"/>
    <n v="29077"/>
    <n v="48826"/>
    <n v="963"/>
    <n v="60"/>
    <n v="2425"/>
    <n v="3"/>
    <n v="36"/>
    <n v="10"/>
    <n v="47"/>
    <n v="1.1937523242841199"/>
    <n v="36.044378331473908"/>
    <n v="3.4300235527457541E-2"/>
    <s v="NO"/>
  </r>
  <r>
    <x v="36"/>
    <n v="82034"/>
    <n v="2810"/>
    <n v="31919"/>
    <n v="47305"/>
    <n v="1364"/>
    <n v="43"/>
    <n v="2842"/>
    <n v="3"/>
    <n v="39"/>
    <n v="9"/>
    <n v="51"/>
    <n v="1.6627252114976701"/>
    <n v="38.909476558500131"/>
    <n v="3.4254089767657314E-2"/>
    <s v="NO"/>
  </r>
  <r>
    <x v="37"/>
    <n v="83411"/>
    <n v="2867"/>
    <n v="35306"/>
    <n v="45238"/>
    <n v="1377"/>
    <n v="57"/>
    <n v="3387"/>
    <n v="3"/>
    <n v="42"/>
    <n v="8"/>
    <n v="57"/>
    <n v="1.6508613971778301"/>
    <n v="42.327750536499984"/>
    <n v="3.4371965328314012E-2"/>
    <s v="NO"/>
  </r>
  <r>
    <x v="38"/>
    <n v="85306"/>
    <n v="2936"/>
    <n v="38314"/>
    <n v="44056"/>
    <n v="1895"/>
    <n v="69"/>
    <n v="3008"/>
    <n v="3"/>
    <n v="45"/>
    <n v="8"/>
    <n v="61"/>
    <n v="2.2214146718870902"/>
    <n v="44.913605139146135"/>
    <n v="3.4417274283168826E-2"/>
    <s v="NO"/>
  </r>
  <r>
    <x v="39"/>
    <n v="87690"/>
    <n v="2990"/>
    <n v="41208"/>
    <n v="43492"/>
    <n v="2384"/>
    <n v="54"/>
    <n v="2894"/>
    <n v="3"/>
    <n v="47"/>
    <n v="7"/>
    <n v="66"/>
    <n v="2.7186680351237298"/>
    <n v="46.992815600410538"/>
    <n v="3.4097388527768273E-2"/>
    <s v="NO"/>
  </r>
  <r>
    <x v="40"/>
    <n v="89664"/>
    <n v="3079"/>
    <n v="44085"/>
    <n v="42500"/>
    <n v="1974"/>
    <n v="89"/>
    <n v="2877"/>
    <n v="3"/>
    <n v="49"/>
    <n v="7"/>
    <n v="73"/>
    <n v="2.2015524625267702"/>
    <n v="49.166889721627413"/>
    <n v="3.4339311206281226E-2"/>
    <s v="NO"/>
  </r>
  <r>
    <x v="41"/>
    <n v="92241"/>
    <n v="3154"/>
    <n v="46681"/>
    <n v="42406"/>
    <n v="2577"/>
    <n v="75"/>
    <n v="2596"/>
    <n v="3"/>
    <n v="51"/>
    <n v="7"/>
    <n v="76"/>
    <n v="2.7937684977396202"/>
    <n v="50.60764735854989"/>
    <n v="3.4193037803146108E-2"/>
    <s v="NO"/>
  </r>
  <r>
    <x v="42"/>
    <n v="94540"/>
    <n v="3249"/>
    <n v="49619"/>
    <n v="41672"/>
    <n v="2299"/>
    <n v="95"/>
    <n v="2938"/>
    <n v="3"/>
    <n v="52"/>
    <n v="7"/>
    <n v="80"/>
    <n v="2.43177491009097"/>
    <n v="52.484662576687114"/>
    <n v="3.4366405754178125E-2"/>
    <s v="NO"/>
  </r>
  <r>
    <x v="43"/>
    <n v="97331"/>
    <n v="3342"/>
    <n v="52237"/>
    <n v="41752"/>
    <n v="2791"/>
    <n v="93"/>
    <n v="2618"/>
    <n v="3"/>
    <n v="54"/>
    <n v="6"/>
    <n v="84"/>
    <n v="2.8675344956899602"/>
    <n v="53.66943728103071"/>
    <n v="3.4336439572181528E-2"/>
    <s v="NO"/>
  </r>
  <r>
    <x v="44"/>
    <n v="101274"/>
    <n v="3454"/>
    <n v="54270"/>
    <n v="43550"/>
    <n v="3943"/>
    <n v="112"/>
    <n v="2033"/>
    <n v="3"/>
    <n v="54"/>
    <n v="6"/>
    <n v="93"/>
    <n v="3.8933981081027702"/>
    <n v="53.587297825700574"/>
    <n v="3.4105495981199517E-2"/>
    <s v="NO"/>
  </r>
  <r>
    <x v="45"/>
    <n v="105312"/>
    <n v="3553"/>
    <n v="56760"/>
    <n v="44999"/>
    <n v="4038"/>
    <n v="99"/>
    <n v="2490"/>
    <n v="3"/>
    <n v="54"/>
    <n v="6"/>
    <n v="94"/>
    <n v="3.8343208751139501"/>
    <n v="53.896991795806748"/>
    <n v="3.3737845639623218E-2"/>
    <s v="NO"/>
  </r>
  <r>
    <x v="46"/>
    <n v="109266"/>
    <n v="3797"/>
    <n v="59092"/>
    <n v="46377"/>
    <n v="3954"/>
    <n v="244"/>
    <n v="2332"/>
    <n v="3"/>
    <n v="54"/>
    <n v="6"/>
    <n v="99"/>
    <n v="3.6186919993410598"/>
    <n v="54.080866875331758"/>
    <n v="3.4750059487855325E-2"/>
    <s v="NO"/>
  </r>
  <r>
    <x v="47"/>
    <n v="113166"/>
    <n v="3981"/>
    <n v="60891"/>
    <n v="48294"/>
    <n v="3900"/>
    <n v="184"/>
    <n v="1799"/>
    <n v="4"/>
    <n v="54"/>
    <n v="7"/>
    <n v="102"/>
    <n v="3.4462647791739598"/>
    <n v="53.8067970945337"/>
    <n v="3.5178410476644932E-2"/>
    <s v="NO"/>
  </r>
  <r>
    <x v="48"/>
    <n v="118190"/>
    <n v="4260"/>
    <n v="62802"/>
    <n v="51128"/>
    <n v="5024"/>
    <n v="279"/>
    <n v="1911"/>
    <n v="4"/>
    <n v="53"/>
    <n v="7"/>
    <n v="105"/>
    <n v="4.2507826381250498"/>
    <n v="53.136475167103811"/>
    <n v="3.6043658515948894E-2"/>
    <s v="NO"/>
  </r>
  <r>
    <x v="49"/>
    <n v="125853"/>
    <n v="4604"/>
    <n v="65113"/>
    <n v="56136"/>
    <n v="7663"/>
    <n v="344"/>
    <n v="2311"/>
    <n v="4"/>
    <n v="52"/>
    <n v="7"/>
    <n v="111"/>
    <n v="6.0888496897173701"/>
    <n v="51.737344362073209"/>
    <n v="3.6582361961971503E-2"/>
    <s v="NO"/>
  </r>
  <r>
    <x v="50"/>
    <n v="131603"/>
    <n v="4909"/>
    <n v="66434"/>
    <n v="60260"/>
    <n v="5750"/>
    <n v="305"/>
    <n v="1321"/>
    <n v="4"/>
    <n v="50"/>
    <n v="7"/>
    <n v="113"/>
    <n v="4.3692013100005296"/>
    <n v="50.480612144100057"/>
    <n v="3.7301581270943671E-2"/>
    <s v="NO"/>
  </r>
  <r>
    <x v="51"/>
    <n v="146008"/>
    <n v="5406"/>
    <n v="68359"/>
    <n v="72243"/>
    <n v="14405"/>
    <n v="497"/>
    <n v="1925"/>
    <n v="4"/>
    <n v="47"/>
    <n v="8"/>
    <n v="120"/>
    <n v="9.8658977590269004"/>
    <n v="46.818667470275599"/>
    <n v="3.7025368472960389E-2"/>
    <s v="NO"/>
  </r>
  <r>
    <x v="52"/>
    <n v="157114"/>
    <n v="5823"/>
    <n v="70729"/>
    <n v="80562"/>
    <n v="11106"/>
    <n v="417"/>
    <n v="2370"/>
    <n v="4"/>
    <n v="45"/>
    <n v="8"/>
    <n v="133"/>
    <n v="7.0687526254821398"/>
    <n v="45.017630510330079"/>
    <n v="3.7062260524205352E-2"/>
    <s v="NO"/>
  </r>
  <r>
    <x v="53"/>
    <n v="168260"/>
    <n v="6464"/>
    <n v="74139"/>
    <n v="87657"/>
    <n v="11146"/>
    <n v="641"/>
    <n v="3410"/>
    <n v="4"/>
    <n v="44"/>
    <n v="9"/>
    <n v="137"/>
    <n v="6.6242719600618098"/>
    <n v="44.062165695946746"/>
    <n v="3.8416736003803638E-2"/>
    <s v="NO"/>
  </r>
  <r>
    <x v="54"/>
    <n v="182919"/>
    <n v="7144"/>
    <n v="76192"/>
    <n v="99583"/>
    <n v="14659"/>
    <n v="680"/>
    <n v="2053"/>
    <n v="4"/>
    <n v="42"/>
    <n v="9"/>
    <n v="143"/>
    <n v="8.0139296628562402"/>
    <n v="41.653409432590379"/>
    <n v="3.9055538243703496E-2"/>
    <s v="NO"/>
  </r>
  <r>
    <x v="55"/>
    <n v="198757"/>
    <n v="7948"/>
    <n v="78944"/>
    <n v="111865"/>
    <n v="15838"/>
    <n v="804"/>
    <n v="2752"/>
    <n v="4"/>
    <n v="40"/>
    <n v="10"/>
    <n v="146"/>
    <n v="7.9685243790155802"/>
    <n v="39.718852669339952"/>
    <n v="3.998852870590721E-2"/>
    <s v="NO"/>
  </r>
  <r>
    <x v="56"/>
    <n v="218343"/>
    <n v="8845"/>
    <n v="81427"/>
    <n v="128071"/>
    <n v="19586"/>
    <n v="897"/>
    <n v="2483"/>
    <n v="4"/>
    <n v="37"/>
    <n v="11"/>
    <n v="150"/>
    <n v="8.9702898650288798"/>
    <n v="37.293158012851343"/>
    <n v="4.050965682435434E-2"/>
    <s v="NO"/>
  </r>
  <r>
    <x v="57"/>
    <n v="246261"/>
    <n v="9951"/>
    <n v="83064"/>
    <n v="153246"/>
    <n v="27918"/>
    <n v="1106"/>
    <n v="1637"/>
    <n v="4"/>
    <n v="34"/>
    <n v="12"/>
    <n v="154"/>
    <n v="11.3367524699404"/>
    <n v="33.730066880261184"/>
    <n v="4.0408347241341507E-2"/>
    <s v="NO"/>
  </r>
  <r>
    <x v="58"/>
    <n v="275869"/>
    <n v="11429"/>
    <n v="85509"/>
    <n v="178931"/>
    <n v="29608"/>
    <n v="1478"/>
    <n v="2445"/>
    <n v="4"/>
    <n v="31"/>
    <n v="13"/>
    <n v="161"/>
    <n v="10.732630342662601"/>
    <n v="30.996233719627796"/>
    <n v="4.1429084094262131E-2"/>
    <s v="NO"/>
  </r>
  <r>
    <x v="59"/>
    <n v="308175"/>
    <n v="13134"/>
    <n v="89775"/>
    <n v="205266"/>
    <n v="32306"/>
    <n v="1705"/>
    <n v="4266"/>
    <n v="4"/>
    <n v="29"/>
    <n v="15"/>
    <n v="163"/>
    <n v="10.483004786241599"/>
    <n v="29.131175468483818"/>
    <n v="4.2618642005354097E-2"/>
    <s v="NO"/>
  </r>
  <r>
    <x v="60"/>
    <n v="341585"/>
    <n v="14831"/>
    <n v="95990"/>
    <n v="230764"/>
    <n v="33410"/>
    <n v="1697"/>
    <n v="6215"/>
    <n v="4"/>
    <n v="28"/>
    <n v="15"/>
    <n v="168"/>
    <n v="9.7808744529180203"/>
    <n v="28.101351054642333"/>
    <n v="4.3418182882737827E-2"/>
    <s v="NO"/>
  </r>
  <r>
    <x v="61"/>
    <n v="383750"/>
    <n v="16748"/>
    <n v="96456"/>
    <n v="270546"/>
    <n v="42165"/>
    <n v="1917"/>
    <n v="466"/>
    <n v="4"/>
    <n v="25"/>
    <n v="17"/>
    <n v="169"/>
    <n v="10.987622149837099"/>
    <n v="25.135114006514659"/>
    <n v="4.3642996742671011E-2"/>
    <s v="NO"/>
  </r>
  <r>
    <x v="62"/>
    <n v="424889"/>
    <n v="19016"/>
    <n v="105997"/>
    <n v="299876"/>
    <n v="41154"/>
    <n v="2268"/>
    <n v="9541"/>
    <n v="4"/>
    <n v="25"/>
    <n v="18"/>
    <n v="171"/>
    <n v="9.6858238269289192"/>
    <n v="24.946986154030817"/>
    <n v="4.4755218421752507E-2"/>
    <s v="NO"/>
  </r>
  <r>
    <x v="63"/>
    <n v="475706"/>
    <n v="21793"/>
    <n v="111445"/>
    <n v="342468"/>
    <n v="50817"/>
    <n v="2777"/>
    <n v="5448"/>
    <n v="5"/>
    <n v="23"/>
    <n v="20"/>
    <n v="174"/>
    <n v="10.6824383127394"/>
    <n v="23.42728491967728"/>
    <n v="4.5811909036253484E-2"/>
    <s v="NO"/>
  </r>
  <r>
    <x v="64"/>
    <n v="538666"/>
    <n v="24800"/>
    <n v="119804"/>
    <n v="394062"/>
    <n v="62960"/>
    <n v="3007"/>
    <n v="8359"/>
    <n v="5"/>
    <n v="22"/>
    <n v="21"/>
    <n v="175"/>
    <n v="11.6881332773927"/>
    <n v="22.240869109986523"/>
    <n v="4.6039660940174428E-2"/>
    <s v="NO"/>
  </r>
  <r>
    <x v="65"/>
    <n v="603066"/>
    <n v="28318"/>
    <n v="128508"/>
    <n v="446240"/>
    <n v="64400"/>
    <n v="3518"/>
    <n v="8704"/>
    <n v="5"/>
    <n v="21"/>
    <n v="22"/>
    <n v="176"/>
    <n v="10.6787648449755"/>
    <n v="21.309110445622867"/>
    <n v="4.6956717838511873E-2"/>
    <s v="NO"/>
  </r>
  <r>
    <x v="66"/>
    <n v="670723"/>
    <n v="31997"/>
    <n v="136800"/>
    <n v="501926"/>
    <n v="67657"/>
    <n v="3679"/>
    <n v="8292"/>
    <n v="5"/>
    <n v="20"/>
    <n v="23"/>
    <n v="176"/>
    <n v="10.0871745862301"/>
    <n v="20.39590113951661"/>
    <n v="4.7705237482537501E-2"/>
    <s v="NO"/>
  </r>
  <r>
    <x v="67"/>
    <n v="730300"/>
    <n v="35470"/>
    <n v="146261"/>
    <n v="548569"/>
    <n v="59577"/>
    <n v="3473"/>
    <n v="9461"/>
    <n v="5"/>
    <n v="20"/>
    <n v="24"/>
    <n v="176"/>
    <n v="8.1578803231548704"/>
    <n v="20.027522935779814"/>
    <n v="4.856908119950705E-2"/>
    <s v="NO"/>
  </r>
  <r>
    <x v="68"/>
    <n v="794939"/>
    <n v="39634"/>
    <n v="161707"/>
    <n v="593598"/>
    <n v="64639"/>
    <n v="4164"/>
    <n v="15446"/>
    <n v="5"/>
    <n v="20"/>
    <n v="25"/>
    <n v="177"/>
    <n v="8.1313157361759796"/>
    <n v="20.34206398226782"/>
    <n v="4.9857913626076972E-2"/>
    <s v="NO"/>
  </r>
  <r>
    <x v="69"/>
    <n v="871355"/>
    <n v="44478"/>
    <n v="174074"/>
    <n v="652803"/>
    <n v="76416"/>
    <n v="4844"/>
    <n v="12367"/>
    <n v="5"/>
    <n v="20"/>
    <n v="26"/>
    <n v="179"/>
    <n v="8.7697895805957398"/>
    <n v="19.977391533875402"/>
    <n v="5.1044637375122652E-2"/>
    <s v="NO"/>
  </r>
  <r>
    <x v="70"/>
    <n v="947569"/>
    <n v="50029"/>
    <n v="189434"/>
    <n v="708106"/>
    <n v="76214"/>
    <n v="5551"/>
    <n v="15360"/>
    <n v="5"/>
    <n v="20"/>
    <n v="26"/>
    <n v="179"/>
    <n v="8.0431082063680908"/>
    <n v="19.991578449696014"/>
    <n v="5.2797210546144925E-2"/>
    <s v="NO"/>
  </r>
  <r>
    <x v="71"/>
    <n v="1028968"/>
    <n v="56334"/>
    <n v="206052"/>
    <n v="766582"/>
    <n v="81399"/>
    <n v="6305"/>
    <n v="16618"/>
    <n v="5"/>
    <n v="20"/>
    <n v="27"/>
    <n v="180"/>
    <n v="7.9107416362802399"/>
    <n v="20.025112539942931"/>
    <n v="5.4748058248653017E-2"/>
    <s v="NO"/>
  </r>
  <r>
    <x v="72"/>
    <n v="1112123"/>
    <n v="62319"/>
    <n v="221060"/>
    <n v="828744"/>
    <n v="83155"/>
    <n v="5985"/>
    <n v="15008"/>
    <n v="6"/>
    <n v="20"/>
    <n v="28"/>
    <n v="180"/>
    <n v="7.4771405680846401"/>
    <n v="19.877297744943682"/>
    <n v="5.6036067952915283E-2"/>
    <s v="NO"/>
  </r>
  <r>
    <x v="73"/>
    <n v="1192586"/>
    <n v="68160"/>
    <n v="241072"/>
    <n v="883354"/>
    <n v="80463"/>
    <n v="5841"/>
    <n v="20012"/>
    <n v="6"/>
    <n v="20"/>
    <n v="28"/>
    <n v="180"/>
    <n v="6.7469348122483401"/>
    <n v="20.214223544465558"/>
    <n v="5.7153110970613437E-2"/>
    <s v="NO"/>
  </r>
  <r>
    <x v="74"/>
    <n v="1264304"/>
    <n v="73181"/>
    <n v="254477"/>
    <n v="936646"/>
    <n v="71718"/>
    <n v="5021"/>
    <n v="13405"/>
    <n v="6"/>
    <n v="20"/>
    <n v="29"/>
    <n v="182"/>
    <n v="5.6725281261468803"/>
    <n v="20.127833179361925"/>
    <n v="5.7882439666409345E-2"/>
    <s v="NO"/>
  </r>
  <r>
    <x v="75"/>
    <n v="1336976"/>
    <n v="79013"/>
    <n v="270812"/>
    <n v="987151"/>
    <n v="72672"/>
    <n v="5832"/>
    <n v="16335"/>
    <n v="6"/>
    <n v="20"/>
    <n v="29"/>
    <n v="183"/>
    <n v="5.4355500771891201"/>
    <n v="20.255561805148332"/>
    <n v="5.9098293462261101E-2"/>
    <s v="NO"/>
  </r>
  <r>
    <x v="76"/>
    <n v="1413849"/>
    <n v="86915"/>
    <n v="293665"/>
    <n v="1033269"/>
    <n v="76873"/>
    <n v="7902"/>
    <n v="22853"/>
    <n v="6"/>
    <n v="21"/>
    <n v="30"/>
    <n v="183"/>
    <n v="5.43714357049444"/>
    <n v="20.770605630445687"/>
    <n v="6.147403294128298E-2"/>
    <s v="NO"/>
  </r>
  <r>
    <x v="77"/>
    <n v="1497624"/>
    <n v="93650"/>
    <n v="322017"/>
    <n v="1081957"/>
    <n v="83775"/>
    <n v="6735"/>
    <n v="28352"/>
    <n v="6"/>
    <n v="22"/>
    <n v="29"/>
    <n v="183"/>
    <n v="5.5938606753096902"/>
    <n v="21.501858944568198"/>
    <n v="6.2532384630588189E-2"/>
    <s v="NO"/>
  </r>
  <r>
    <x v="78"/>
    <n v="1584249"/>
    <n v="101279"/>
    <n v="346349"/>
    <n v="1136621"/>
    <n v="86625"/>
    <n v="7629"/>
    <n v="24332"/>
    <n v="6"/>
    <n v="22"/>
    <n v="29"/>
    <n v="183"/>
    <n v="5.4678904641884003"/>
    <n v="21.86203052676694"/>
    <n v="6.3928713226266837E-2"/>
    <s v="NO"/>
  </r>
  <r>
    <x v="79"/>
    <n v="1671907"/>
    <n v="108551"/>
    <n v="367477"/>
    <n v="1195879"/>
    <n v="87658"/>
    <n v="7272"/>
    <n v="21128"/>
    <n v="6"/>
    <n v="22"/>
    <n v="30"/>
    <n v="184"/>
    <n v="5.2429949751989797"/>
    <n v="21.979512018312022"/>
    <n v="6.4926458230033124E-2"/>
    <s v="NO"/>
  </r>
  <r>
    <x v="80"/>
    <n v="1748872"/>
    <n v="114620"/>
    <n v="392991"/>
    <n v="1241261"/>
    <n v="76965"/>
    <n v="6069"/>
    <n v="25514"/>
    <n v="7"/>
    <n v="22"/>
    <n v="29"/>
    <n v="184"/>
    <n v="4.4008366535686996"/>
    <n v="22.471112808713272"/>
    <n v="6.5539387673883509E-2"/>
    <s v="NO"/>
  </r>
  <r>
    <x v="81"/>
    <n v="1845653"/>
    <n v="120351"/>
    <n v="411864"/>
    <n v="1313438"/>
    <n v="96802"/>
    <n v="5731"/>
    <n v="18873"/>
    <n v="7"/>
    <n v="22"/>
    <n v="29"/>
    <n v="184"/>
    <n v="5.2448645547131596"/>
    <n v="22.315353969570662"/>
    <n v="6.5207815336902439E-2"/>
    <s v="NO"/>
  </r>
  <r>
    <x v="82"/>
    <n v="1915247"/>
    <n v="126098"/>
    <n v="438395"/>
    <n v="1350754"/>
    <n v="69594"/>
    <n v="5747"/>
    <n v="26531"/>
    <n v="7"/>
    <n v="23"/>
    <n v="29"/>
    <n v="184"/>
    <n v="3.6336827573675898"/>
    <n v="22.889736937324535"/>
    <n v="6.5839027551015616E-2"/>
    <s v="NO"/>
  </r>
  <r>
    <x v="83"/>
    <n v="1985174"/>
    <n v="132996"/>
    <n v="463014"/>
    <n v="1389164"/>
    <n v="69927"/>
    <n v="6898"/>
    <n v="24619"/>
    <n v="7"/>
    <n v="23"/>
    <n v="29"/>
    <n v="184"/>
    <n v="3.5224620108867"/>
    <n v="23.32359783071912"/>
    <n v="6.699463120109371E-2"/>
    <s v="NO"/>
  </r>
  <r>
    <x v="84"/>
    <n v="2066003"/>
    <n v="141308"/>
    <n v="498925"/>
    <n v="1425770"/>
    <n v="80829"/>
    <n v="8312"/>
    <n v="35911"/>
    <n v="7"/>
    <n v="24"/>
    <n v="28"/>
    <n v="184"/>
    <n v="3.9123370101592299"/>
    <n v="24.149287295323386"/>
    <n v="6.8396802908805066E-2"/>
    <s v="NO"/>
  </r>
  <r>
    <x v="85"/>
    <n v="2162715"/>
    <n v="148591"/>
    <n v="529015"/>
    <n v="1485109"/>
    <n v="96712"/>
    <n v="7283"/>
    <n v="30090"/>
    <n v="7"/>
    <n v="24"/>
    <n v="28"/>
    <n v="184"/>
    <n v="4.4717866200585803"/>
    <n v="24.460689457464344"/>
    <n v="6.8705770293358115E-2"/>
    <s v="NO"/>
  </r>
  <r>
    <x v="86"/>
    <n v="2250439"/>
    <n v="157481"/>
    <n v="554287"/>
    <n v="1538671"/>
    <n v="87724"/>
    <n v="8890"/>
    <n v="25272"/>
    <n v="7"/>
    <n v="25"/>
    <n v="28"/>
    <n v="184"/>
    <n v="3.8980838849664399"/>
    <n v="24.630172157521265"/>
    <n v="6.997790208932568E-2"/>
    <s v="NO"/>
  </r>
  <r>
    <x v="87"/>
    <n v="2324396"/>
    <n v="163952"/>
    <n v="577789"/>
    <n v="1582655"/>
    <n v="73958"/>
    <n v="6471"/>
    <n v="23502"/>
    <n v="7"/>
    <n v="25"/>
    <n v="28"/>
    <n v="184"/>
    <n v="3.1818158351674999"/>
    <n v="24.857597414554146"/>
    <n v="7.0535313259874818E-2"/>
    <s v="NO"/>
  </r>
  <r>
    <x v="88"/>
    <n v="2404919"/>
    <n v="168522"/>
    <n v="608557"/>
    <n v="1627840"/>
    <n v="80523"/>
    <n v="4570"/>
    <n v="30768"/>
    <n v="7"/>
    <n v="25"/>
    <n v="28"/>
    <n v="184"/>
    <n v="3.34826245707236"/>
    <n v="25.304677621158966"/>
    <n v="7.0073877748065533E-2"/>
    <s v="NO"/>
  </r>
  <r>
    <x v="89"/>
    <n v="2478258"/>
    <n v="173965"/>
    <n v="629862"/>
    <n v="1674431"/>
    <n v="73339"/>
    <n v="5443"/>
    <n v="21305"/>
    <n v="7"/>
    <n v="25"/>
    <n v="28"/>
    <n v="184"/>
    <n v="2.9592964090098799"/>
    <n v="25.415513639015792"/>
    <n v="7.0196484788912217E-2"/>
    <s v="NO"/>
  </r>
  <r>
    <x v="90"/>
    <n v="2553508"/>
    <n v="181122"/>
    <n v="664043"/>
    <n v="1708343"/>
    <n v="75250"/>
    <n v="7157"/>
    <n v="34181"/>
    <n v="7"/>
    <n v="26"/>
    <n v="27"/>
    <n v="184"/>
    <n v="2.9469263460306401"/>
    <n v="26.005127064414914"/>
    <n v="7.093065696289183E-2"/>
    <s v="NO"/>
  </r>
  <r>
    <x v="91"/>
    <n v="2630314"/>
    <n v="187877"/>
    <n v="693207"/>
    <n v="1749230"/>
    <n v="78994"/>
    <n v="6755"/>
    <n v="29164"/>
    <n v="7"/>
    <n v="26"/>
    <n v="27"/>
    <n v="184"/>
    <n v="3.0032155856677201"/>
    <n v="26.35453409744996"/>
    <n v="7.1427593815795373E-2"/>
    <s v="NO"/>
  </r>
  <r>
    <x v="92"/>
    <n v="2719327"/>
    <n v="194727"/>
    <n v="721689"/>
    <n v="1802911"/>
    <n v="89013"/>
    <n v="6850"/>
    <n v="28482"/>
    <n v="7"/>
    <n v="27"/>
    <n v="27"/>
    <n v="184"/>
    <n v="3.2733466773212601"/>
    <n v="26.539250336572245"/>
    <n v="7.1608526668547029E-2"/>
    <s v="NO"/>
  </r>
  <r>
    <x v="93"/>
    <n v="2806267"/>
    <n v="201401"/>
    <n v="771329"/>
    <n v="1833537"/>
    <n v="96974"/>
    <n v="6674"/>
    <n v="49640"/>
    <n v="7"/>
    <n v="27"/>
    <n v="26"/>
    <n v="184"/>
    <n v="3.4556227187220601"/>
    <n v="27.485944851291773"/>
    <n v="7.1768295746627103E-2"/>
    <s v="NO"/>
  </r>
  <r>
    <x v="94"/>
    <n v="2891199"/>
    <n v="206979"/>
    <n v="798239"/>
    <n v="1885981"/>
    <n v="84932"/>
    <n v="5578"/>
    <n v="26910"/>
    <n v="7"/>
    <n v="28"/>
    <n v="26"/>
    <n v="184"/>
    <n v="2.9376047791936801"/>
    <n v="27.609272139344267"/>
    <n v="7.1589330239807084E-2"/>
    <s v="NO"/>
  </r>
  <r>
    <x v="95"/>
    <n v="2964146"/>
    <n v="210862"/>
    <n v="825969"/>
    <n v="1927315"/>
    <n v="72948"/>
    <n v="3883"/>
    <n v="27730"/>
    <n v="7"/>
    <n v="28"/>
    <n v="26"/>
    <n v="184"/>
    <n v="2.46101237928226"/>
    <n v="27.865327821234175"/>
    <n v="7.1137521566076709E-2"/>
    <s v="NO"/>
  </r>
  <r>
    <x v="96"/>
    <n v="3032850"/>
    <n v="215511"/>
    <n v="852382"/>
    <n v="1964957"/>
    <n v="68704"/>
    <n v="4649"/>
    <n v="26413"/>
    <n v="7"/>
    <n v="28"/>
    <n v="25"/>
    <n v="184"/>
    <n v="2.2653279918228701"/>
    <n v="28.104983761148755"/>
    <n v="7.1058904990355609E-2"/>
    <s v="NO"/>
  </r>
  <r>
    <x v="97"/>
    <n v="3108149"/>
    <n v="221974"/>
    <n v="884680"/>
    <n v="2001495"/>
    <n v="75404"/>
    <n v="6463"/>
    <n v="32298"/>
    <n v="7"/>
    <n v="28"/>
    <n v="25"/>
    <n v="184"/>
    <n v="2.4260098212794801"/>
    <n v="28.463242914030186"/>
    <n v="7.1416782142683641E-2"/>
    <s v="NO"/>
  </r>
  <r>
    <x v="98"/>
    <n v="3185195"/>
    <n v="228742"/>
    <n v="925752"/>
    <n v="2030701"/>
    <n v="79558"/>
    <n v="6768"/>
    <n v="41072"/>
    <n v="7"/>
    <n v="29"/>
    <n v="25"/>
    <n v="184"/>
    <n v="2.4977434662556002"/>
    <n v="29.064217418399817"/>
    <n v="7.1814127549490694E-2"/>
    <s v="NO"/>
  </r>
  <r>
    <x v="99"/>
    <n v="3268876"/>
    <n v="234704"/>
    <n v="989616"/>
    <n v="2044556"/>
    <n v="83681"/>
    <n v="5962"/>
    <n v="63864"/>
    <n v="7"/>
    <n v="30"/>
    <n v="24"/>
    <n v="186"/>
    <n v="2.5599319154351501"/>
    <n v="30.273892310384365"/>
    <n v="7.1799603288714528E-2"/>
    <s v="NO"/>
  </r>
  <r>
    <x v="100"/>
    <n v="3355922"/>
    <n v="239881"/>
    <n v="1026501"/>
    <n v="2089540"/>
    <n v="87046"/>
    <n v="5177"/>
    <n v="36885"/>
    <n v="7"/>
    <n v="31"/>
    <n v="23"/>
    <n v="186"/>
    <n v="2.5938028357035701"/>
    <n v="30.587749059721887"/>
    <n v="7.1479909246996806E-2"/>
    <s v="NO"/>
  </r>
  <r>
    <x v="101"/>
    <n v="3437608"/>
    <n v="245206"/>
    <n v="1066362"/>
    <n v="2126040"/>
    <n v="81853"/>
    <n v="5325"/>
    <n v="39861"/>
    <n v="7"/>
    <n v="31"/>
    <n v="23"/>
    <n v="186"/>
    <n v="2.38110337187952"/>
    <n v="31.020465393378188"/>
    <n v="7.1330413473554871E-2"/>
    <s v="NO"/>
  </r>
  <r>
    <x v="102"/>
    <n v="3515244"/>
    <n v="248659"/>
    <n v="1097577"/>
    <n v="2169008"/>
    <n v="77636"/>
    <n v="3453"/>
    <n v="31215"/>
    <n v="7"/>
    <n v="31"/>
    <n v="23"/>
    <n v="186"/>
    <n v="2.2085522370566602"/>
    <n v="31.223351778710096"/>
    <n v="7.0737337152129418E-2"/>
    <s v="NO"/>
  </r>
  <r>
    <x v="103"/>
    <n v="3591321"/>
    <n v="252787"/>
    <n v="1130526"/>
    <n v="2208008"/>
    <n v="76078"/>
    <n v="4128"/>
    <n v="32949"/>
    <n v="7"/>
    <n v="31"/>
    <n v="22"/>
    <n v="186"/>
    <n v="2.1183848505884"/>
    <n v="31.479391566501576"/>
    <n v="7.0388305584491051E-2"/>
    <s v="NO"/>
  </r>
  <r>
    <x v="104"/>
    <n v="3671310"/>
    <n v="258658"/>
    <n v="1166155"/>
    <n v="2246497"/>
    <n v="79989"/>
    <n v="5871"/>
    <n v="35629"/>
    <n v="7"/>
    <n v="32"/>
    <n v="22"/>
    <n v="186"/>
    <n v="2.1787590805461798"/>
    <n v="31.764002495022215"/>
    <n v="7.0453870689209025E-2"/>
    <s v="NO"/>
  </r>
  <r>
    <x v="105"/>
    <n v="3761332"/>
    <n v="265327"/>
    <n v="1210894"/>
    <n v="2285111"/>
    <n v="90022"/>
    <n v="6669"/>
    <n v="44739"/>
    <n v="7"/>
    <n v="32"/>
    <n v="22"/>
    <n v="186"/>
    <n v="2.3933542691791101"/>
    <n v="32.193223039072329"/>
    <n v="7.054070207043675E-2"/>
    <s v="NO"/>
  </r>
  <r>
    <x v="106"/>
    <n v="3850418"/>
    <n v="270736"/>
    <n v="1249311"/>
    <n v="2330371"/>
    <n v="90669"/>
    <n v="5409"/>
    <n v="38417"/>
    <n v="7"/>
    <n v="32"/>
    <n v="22"/>
    <n v="186"/>
    <n v="2.3547832988522299"/>
    <n v="32.44611364272658"/>
    <n v="7.0313404934217533E-2"/>
    <s v="NO"/>
  </r>
  <r>
    <x v="107"/>
    <n v="3941935"/>
    <n v="276304"/>
    <n v="1284849"/>
    <n v="2380782"/>
    <n v="92997"/>
    <n v="5568"/>
    <n v="35538"/>
    <n v="7"/>
    <n v="33"/>
    <n v="22"/>
    <n v="186"/>
    <n v="2.3591713206838798"/>
    <n v="32.594373068049066"/>
    <n v="7.0093494692327493E-2"/>
    <s v="NO"/>
  </r>
  <r>
    <x v="108"/>
    <n v="4027781"/>
    <n v="280569"/>
    <n v="1337367"/>
    <n v="2409845"/>
    <n v="85846"/>
    <n v="4265"/>
    <n v="52518"/>
    <n v="7"/>
    <n v="33"/>
    <n v="21"/>
    <n v="186"/>
    <n v="2.1313472604394299"/>
    <n v="33.203567919904287"/>
    <n v="6.9658454618063886E-2"/>
    <s v="NO"/>
  </r>
  <r>
    <x v="109"/>
    <n v="4104027"/>
    <n v="284135"/>
    <n v="1370108"/>
    <n v="2449784"/>
    <n v="76255"/>
    <n v="3566"/>
    <n v="32741"/>
    <n v="7"/>
    <n v="33"/>
    <n v="21"/>
    <n v="186"/>
    <n v="1.85805307811084"/>
    <n v="33.384478221025347"/>
    <n v="6.9233218982233793E-2"/>
    <s v="NO"/>
  </r>
  <r>
    <x v="110"/>
    <n v="4180268"/>
    <n v="287608"/>
    <n v="1416204"/>
    <n v="2476456"/>
    <n v="76298"/>
    <n v="3473"/>
    <n v="46096"/>
    <n v="7"/>
    <n v="34"/>
    <n v="20"/>
    <n v="186"/>
    <n v="1.82519398277814"/>
    <n v="33.878306366960203"/>
    <n v="6.8801330441014788E-2"/>
    <s v="NO"/>
  </r>
  <r>
    <x v="111"/>
    <n v="4263867"/>
    <n v="293155"/>
    <n v="1452191"/>
    <n v="2518521"/>
    <n v="83619"/>
    <n v="5547"/>
    <n v="35987"/>
    <n v="7"/>
    <n v="34"/>
    <n v="20"/>
    <n v="186"/>
    <n v="1.9611071358464001"/>
    <n v="34.05807451311216"/>
    <n v="6.8753317118005794E-2"/>
    <s v="NO"/>
  </r>
  <r>
    <x v="112"/>
    <n v="4348619"/>
    <n v="298383"/>
    <n v="1506905"/>
    <n v="2543331"/>
    <n v="84917"/>
    <n v="5228"/>
    <n v="54714"/>
    <n v="7"/>
    <n v="35"/>
    <n v="20"/>
    <n v="187"/>
    <n v="1.9527348797399799"/>
    <n v="34.652495424409452"/>
    <n v="6.8615576577299595E-2"/>
    <s v="NO"/>
  </r>
  <r>
    <x v="113"/>
    <n v="4445724"/>
    <n v="303651"/>
    <n v="1545712"/>
    <n v="2596361"/>
    <n v="97106"/>
    <n v="5268"/>
    <n v="38807"/>
    <n v="7"/>
    <n v="35"/>
    <n v="20"/>
    <n v="187"/>
    <n v="2.1842561526536501"/>
    <n v="34.768510145928985"/>
    <n v="6.8301810908639404E-2"/>
    <s v="NO"/>
  </r>
  <r>
    <x v="114"/>
    <n v="4542073"/>
    <n v="308866"/>
    <n v="1592880"/>
    <n v="2640327"/>
    <n v="96349"/>
    <n v="5215"/>
    <n v="47168"/>
    <n v="7"/>
    <n v="35"/>
    <n v="19"/>
    <n v="187"/>
    <n v="2.12125608725355"/>
    <n v="35.069449566310361"/>
    <n v="6.8001108744839639E-2"/>
    <s v="NO"/>
  </r>
  <r>
    <x v="115"/>
    <n v="4637485"/>
    <n v="313037"/>
    <n v="1648546"/>
    <n v="2675902"/>
    <n v="95412"/>
    <n v="4171"/>
    <n v="55666"/>
    <n v="7"/>
    <n v="36"/>
    <n v="19"/>
    <n v="187"/>
    <n v="2.0574082719405"/>
    <n v="35.548276706016303"/>
    <n v="6.7501458225740898E-2"/>
    <s v="NO"/>
  </r>
  <r>
    <x v="116"/>
    <n v="4715994"/>
    <n v="316366"/>
    <n v="1688699"/>
    <n v="2710929"/>
    <n v="78509"/>
    <n v="3329"/>
    <n v="40153"/>
    <n v="7"/>
    <n v="36"/>
    <n v="19"/>
    <n v="187"/>
    <n v="1.66473918329837"/>
    <n v="35.8079123934424"/>
    <n v="6.7083630725569207E-2"/>
    <s v="NO"/>
  </r>
  <r>
    <x v="117"/>
    <n v="4804278"/>
    <n v="319657"/>
    <n v="1740909"/>
    <n v="2743712"/>
    <n v="88284"/>
    <n v="3291"/>
    <n v="52210"/>
    <n v="7"/>
    <n v="36"/>
    <n v="18"/>
    <n v="187"/>
    <n v="1.8376122281017"/>
    <n v="36.236641593180082"/>
    <n v="6.6535908205145503E-2"/>
    <s v="NO"/>
  </r>
  <r>
    <x v="118"/>
    <n v="4900702"/>
    <n v="324441"/>
    <n v="1792256"/>
    <n v="2784005"/>
    <n v="96633"/>
    <n v="4784"/>
    <n v="51347"/>
    <n v="7"/>
    <n v="37"/>
    <n v="18"/>
    <n v="187"/>
    <n v="1.97181954748524"/>
    <n v="36.571413646453102"/>
    <n v="6.6202964391632049E-2"/>
    <s v="NO"/>
  </r>
  <r>
    <x v="119"/>
    <n v="5003730"/>
    <n v="329326"/>
    <n v="1850441"/>
    <n v="2823963"/>
    <n v="103028"/>
    <n v="4885"/>
    <n v="58185"/>
    <n v="7"/>
    <n v="37"/>
    <n v="18"/>
    <n v="187"/>
    <n v="2.0590239681197802"/>
    <n v="36.981232000927314"/>
    <n v="6.5816101188513373E-2"/>
    <s v="NO"/>
  </r>
  <r>
    <x v="120"/>
    <n v="5110064"/>
    <n v="334112"/>
    <n v="1900768"/>
    <n v="2875184"/>
    <n v="106438"/>
    <n v="4786"/>
    <n v="50327"/>
    <n v="7"/>
    <n v="37"/>
    <n v="18"/>
    <n v="187"/>
    <n v="2.0829093334251798"/>
    <n v="37.196559573422171"/>
    <n v="6.5383134144699553E-2"/>
    <s v="NO"/>
  </r>
  <r>
    <x v="121"/>
    <n v="5216964"/>
    <n v="339396"/>
    <n v="2008541"/>
    <n v="2869027"/>
    <n v="106900"/>
    <n v="5284"/>
    <n v="107773"/>
    <n v="7"/>
    <n v="38"/>
    <n v="17"/>
    <n v="187"/>
    <n v="2.0490844866861302"/>
    <n v="38.500188998812334"/>
    <n v="6.5056228105081812E-2"/>
    <s v="NO"/>
  </r>
  <r>
    <x v="122"/>
    <n v="5322253"/>
    <n v="343385"/>
    <n v="2062802"/>
    <n v="2916066"/>
    <n v="105289"/>
    <n v="3989"/>
    <n v="54261"/>
    <n v="6"/>
    <n v="39"/>
    <n v="17"/>
    <n v="187"/>
    <n v="1.9782787477408501"/>
    <n v="38.758059791595777"/>
    <n v="6.4518729192317617E-2"/>
    <s v="NO"/>
  </r>
  <r>
    <x v="123"/>
    <n v="5417579"/>
    <n v="346525"/>
    <n v="2117555"/>
    <n v="2953499"/>
    <n v="95326"/>
    <n v="3140"/>
    <n v="54753"/>
    <n v="6"/>
    <n v="39"/>
    <n v="16"/>
    <n v="187"/>
    <n v="1.7595682499507601"/>
    <n v="39.086739667294189"/>
    <n v="6.3963072804291365E-2"/>
    <s v="NO"/>
  </r>
  <r>
    <x v="124"/>
    <n v="5504542"/>
    <n v="347703"/>
    <n v="2180605"/>
    <n v="2976234"/>
    <n v="87335"/>
    <n v="1178"/>
    <n v="63050"/>
    <n v="6"/>
    <n v="40"/>
    <n v="16"/>
    <n v="187"/>
    <n v="1.58659884873256"/>
    <n v="39.614649138838438"/>
    <n v="6.3166563176373258E-2"/>
    <s v="NO"/>
  </r>
  <r>
    <x v="125"/>
    <n v="5597064"/>
    <n v="351906"/>
    <n v="2235118"/>
    <n v="3010040"/>
    <n v="92742"/>
    <n v="4203"/>
    <n v="54513"/>
    <n v="6"/>
    <n v="40"/>
    <n v="16"/>
    <n v="187"/>
    <n v="1.65697587163556"/>
    <n v="39.933758127475407"/>
    <n v="6.2873320726723872E-2"/>
    <s v="NO"/>
  </r>
  <r>
    <x v="126"/>
    <n v="5699664"/>
    <n v="357119"/>
    <n v="2297613"/>
    <n v="3044932"/>
    <n v="102600"/>
    <n v="5213"/>
    <n v="62495"/>
    <n v="6"/>
    <n v="40"/>
    <n v="16"/>
    <n v="187"/>
    <n v="1.80010611151815"/>
    <n v="40.311376249547344"/>
    <n v="6.2656149555482571E-2"/>
    <s v="NO"/>
  </r>
  <r>
    <x v="127"/>
    <n v="5818978"/>
    <n v="361820"/>
    <n v="2363746"/>
    <n v="3093412"/>
    <n v="119314"/>
    <n v="4701"/>
    <n v="66133"/>
    <n v="6"/>
    <n v="41"/>
    <n v="15"/>
    <n v="187"/>
    <n v="2.05042878663573"/>
    <n v="40.621325600474862"/>
    <n v="6.2179303650916021E-2"/>
    <s v="NO"/>
  </r>
  <r>
    <x v="128"/>
    <n v="5940145"/>
    <n v="366562"/>
    <n v="2440127"/>
    <n v="3133456"/>
    <n v="121167"/>
    <n v="4742"/>
    <n v="76381"/>
    <n v="6"/>
    <n v="41"/>
    <n v="15"/>
    <n v="187"/>
    <n v="2.0397986917827802"/>
    <n v="41.078576364718373"/>
    <n v="6.170926803975324E-2"/>
    <s v="NO"/>
  </r>
  <r>
    <x v="129"/>
    <n v="6077978"/>
    <n v="370718"/>
    <n v="2509981"/>
    <n v="3197279"/>
    <n v="137833"/>
    <n v="4156"/>
    <n v="69854"/>
    <n v="6"/>
    <n v="41"/>
    <n v="15"/>
    <n v="187"/>
    <n v="2.2677443057543099"/>
    <n v="41.296315978767936"/>
    <n v="6.0993639661084655E-2"/>
    <s v="NO"/>
  </r>
  <r>
    <x v="130"/>
    <n v="6185530"/>
    <n v="373606"/>
    <n v="2585589"/>
    <n v="3226335"/>
    <n v="107552"/>
    <n v="2888"/>
    <n v="75608"/>
    <n v="6"/>
    <n v="42"/>
    <n v="14"/>
    <n v="187"/>
    <n v="1.7387677369602901"/>
    <n v="41.800605606956879"/>
    <n v="6.0399998059988393E-2"/>
    <s v="NO"/>
  </r>
  <r>
    <x v="131"/>
    <n v="6280725"/>
    <n v="376674"/>
    <n v="2639599"/>
    <n v="3264452"/>
    <n v="95195"/>
    <n v="3068"/>
    <n v="54010"/>
    <n v="6"/>
    <n v="42"/>
    <n v="14"/>
    <n v="187"/>
    <n v="1.51566897133691"/>
    <n v="42.026979369419934"/>
    <n v="5.9973012669715678E-2"/>
    <s v="NO"/>
  </r>
  <r>
    <x v="132"/>
    <n v="6401536"/>
    <n v="381497"/>
    <n v="2743083"/>
    <n v="3276956"/>
    <n v="121577"/>
    <n v="4823"/>
    <n v="103484"/>
    <n v="6"/>
    <n v="43"/>
    <n v="14"/>
    <n v="187"/>
    <n v="1.8991848206430499"/>
    <n v="42.850387781932334"/>
    <n v="5.9594603545149165E-2"/>
    <s v="NO"/>
  </r>
  <r>
    <x v="133"/>
    <n v="6520924"/>
    <n v="387069"/>
    <n v="2821430"/>
    <n v="3312425"/>
    <n v="119389"/>
    <n v="5572"/>
    <n v="78347"/>
    <n v="6"/>
    <n v="43"/>
    <n v="14"/>
    <n v="187"/>
    <n v="1.83086016644267"/>
    <n v="43.267334506582195"/>
    <n v="5.9357998958429817E-2"/>
    <s v="NO"/>
  </r>
  <r>
    <x v="134"/>
    <n v="6647861"/>
    <n v="392218"/>
    <n v="2890776"/>
    <n v="3364867"/>
    <n v="126937"/>
    <n v="5149"/>
    <n v="69346"/>
    <n v="6"/>
    <n v="43"/>
    <n v="14"/>
    <n v="187"/>
    <n v="1.9094412473425699"/>
    <n v="43.484302695257924"/>
    <n v="5.8999127689342484E-2"/>
    <s v="NO"/>
  </r>
  <r>
    <x v="135"/>
    <n v="6778724"/>
    <n v="396994"/>
    <n v="2959037"/>
    <n v="3422693"/>
    <n v="130863"/>
    <n v="4776"/>
    <n v="68261"/>
    <n v="6"/>
    <n v="44"/>
    <n v="13"/>
    <n v="187"/>
    <n v="1.93049606386099"/>
    <n v="43.651828869268023"/>
    <n v="5.8564709228462464E-2"/>
    <s v="NO"/>
  </r>
  <r>
    <x v="136"/>
    <n v="6914666"/>
    <n v="400875"/>
    <n v="3030214"/>
    <n v="3483577"/>
    <n v="135942"/>
    <n v="3881"/>
    <n v="71177"/>
    <n v="6"/>
    <n v="44"/>
    <n v="13"/>
    <n v="187"/>
    <n v="1.9659951760504399"/>
    <n v="43.822998825973663"/>
    <n v="5.7974600653162421E-2"/>
    <s v="NO"/>
  </r>
  <r>
    <x v="137"/>
    <n v="7026925"/>
    <n v="403617"/>
    <n v="3084718"/>
    <n v="3538590"/>
    <n v="112259"/>
    <n v="2742"/>
    <n v="54504"/>
    <n v="6"/>
    <n v="44"/>
    <n v="13"/>
    <n v="187"/>
    <n v="1.5975551183483501"/>
    <n v="43.898547373139749"/>
    <n v="5.7438637810991296E-2"/>
    <s v="NO"/>
  </r>
  <r>
    <x v="138"/>
    <n v="7129150"/>
    <n v="407314"/>
    <n v="3235640"/>
    <n v="3486196"/>
    <n v="102225"/>
    <n v="3697"/>
    <n v="150922"/>
    <n v="6"/>
    <n v="45"/>
    <n v="13"/>
    <n v="187"/>
    <n v="1.43390165728032"/>
    <n v="45.386055841159184"/>
    <n v="5.7133599377204858E-2"/>
    <s v="NO"/>
  </r>
  <r>
    <x v="139"/>
    <n v="7253492"/>
    <n v="412236"/>
    <n v="3317121"/>
    <n v="3524135"/>
    <n v="124342"/>
    <n v="4922"/>
    <n v="81481"/>
    <n v="6"/>
    <n v="46"/>
    <n v="12"/>
    <n v="187"/>
    <n v="1.7142363981376101"/>
    <n v="45.731366354302175"/>
    <n v="5.6832764136225698E-2"/>
    <s v="NO"/>
  </r>
  <r>
    <x v="140"/>
    <n v="7387517"/>
    <n v="417441"/>
    <n v="3395154"/>
    <n v="3574922"/>
    <n v="134025"/>
    <n v="5205"/>
    <n v="78033"/>
    <n v="6"/>
    <n v="46"/>
    <n v="12"/>
    <n v="187"/>
    <n v="1.8142090231399799"/>
    <n v="45.957985612757298"/>
    <n v="5.6506265907746808E-2"/>
    <s v="NO"/>
  </r>
  <r>
    <x v="141"/>
    <n v="7525631"/>
    <n v="422215"/>
    <n v="3480121"/>
    <n v="3623295"/>
    <n v="138114"/>
    <n v="4774"/>
    <n v="84967"/>
    <n v="6"/>
    <n v="46"/>
    <n v="12"/>
    <n v="187"/>
    <n v="1.83524810079048"/>
    <n v="46.243577448854452"/>
    <n v="5.6103601146535086E-2"/>
    <s v="NO"/>
  </r>
  <r>
    <x v="142"/>
    <n v="7654725"/>
    <n v="426512"/>
    <n v="3558933"/>
    <n v="3669280"/>
    <n v="129094"/>
    <n v="4297"/>
    <n v="78812"/>
    <n v="6"/>
    <n v="46"/>
    <n v="12"/>
    <n v="187"/>
    <n v="1.6864616299083199"/>
    <n v="46.493283560154026"/>
    <n v="5.5718788068807173E-2"/>
    <s v="NO"/>
  </r>
  <r>
    <x v="143"/>
    <n v="7790735"/>
    <n v="430750"/>
    <n v="3644048"/>
    <n v="3715937"/>
    <n v="136010"/>
    <n v="4238"/>
    <n v="85115"/>
    <n v="6"/>
    <n v="47"/>
    <n v="12"/>
    <n v="187"/>
    <n v="1.7457916358340999"/>
    <n v="46.774123365767153"/>
    <n v="5.5290033610435989E-2"/>
    <s v="NO"/>
  </r>
  <r>
    <x v="144"/>
    <n v="7924156"/>
    <n v="434124"/>
    <n v="3714006"/>
    <n v="3776026"/>
    <n v="133421"/>
    <n v="3374"/>
    <n v="69958"/>
    <n v="5"/>
    <n v="47"/>
    <n v="12"/>
    <n v="187"/>
    <n v="1.6837250553876"/>
    <n v="46.869420541443155"/>
    <n v="5.4784888131934807E-2"/>
    <s v="NO"/>
  </r>
  <r>
    <x v="145"/>
    <n v="8043794"/>
    <n v="437549"/>
    <n v="3793406"/>
    <n v="3812839"/>
    <n v="119638"/>
    <n v="3425"/>
    <n v="79400"/>
    <n v="5"/>
    <n v="47"/>
    <n v="12"/>
    <n v="187"/>
    <n v="1.4873329675026501"/>
    <n v="47.159412585652987"/>
    <n v="5.4395848526205423E-2"/>
    <s v="NO"/>
  </r>
  <r>
    <x v="146"/>
    <n v="8185197"/>
    <n v="444416"/>
    <n v="3890800"/>
    <n v="3849981"/>
    <n v="141403"/>
    <n v="6867"/>
    <n v="97394"/>
    <n v="5"/>
    <n v="48"/>
    <n v="11"/>
    <n v="187"/>
    <n v="1.7275454701945501"/>
    <n v="47.534592020204279"/>
    <n v="5.4295089049170103E-2"/>
    <s v="NO"/>
  </r>
  <r>
    <x v="147"/>
    <n v="8327050"/>
    <n v="449671"/>
    <n v="4008201"/>
    <n v="3869178"/>
    <n v="141853"/>
    <n v="5255"/>
    <n v="117401"/>
    <n v="5"/>
    <n v="48"/>
    <n v="11"/>
    <n v="187"/>
    <n v="1.7035204544226299"/>
    <n v="48.134705567998267"/>
    <n v="5.4001236932647217E-2"/>
    <s v="NO"/>
  </r>
  <r>
    <x v="148"/>
    <n v="8466978"/>
    <n v="454700"/>
    <n v="4088826"/>
    <n v="3923452"/>
    <n v="139928"/>
    <n v="5029"/>
    <n v="80625"/>
    <n v="5"/>
    <n v="48"/>
    <n v="11"/>
    <n v="187"/>
    <n v="1.6526321433692199"/>
    <n v="48.291444716166737"/>
    <n v="5.3702749670543608E-2"/>
    <s v="NO"/>
  </r>
  <r>
    <x v="149"/>
    <n v="8647784"/>
    <n v="460973"/>
    <n v="4183298"/>
    <n v="4003513"/>
    <n v="180954"/>
    <n v="6273"/>
    <n v="94472"/>
    <n v="5"/>
    <n v="48"/>
    <n v="11"/>
    <n v="187"/>
    <n v="2.0924898216699201"/>
    <n v="48.374219337578275"/>
    <n v="5.3305332325599253E-2"/>
    <s v="NO"/>
  </r>
  <r>
    <x v="150"/>
    <n v="8805336"/>
    <n v="465222"/>
    <n v="4298603"/>
    <n v="4041511"/>
    <n v="157552"/>
    <n v="4249"/>
    <n v="115305"/>
    <n v="5"/>
    <n v="49"/>
    <n v="11"/>
    <n v="187"/>
    <n v="1.78927868283504"/>
    <n v="48.818159806735373"/>
    <n v="5.2834099686826258E-2"/>
    <s v="NO"/>
  </r>
  <r>
    <x v="151"/>
    <n v="8933875"/>
    <n v="469185"/>
    <n v="4366875"/>
    <n v="4097815"/>
    <n v="128539"/>
    <n v="3963"/>
    <n v="68272"/>
    <n v="5"/>
    <n v="49"/>
    <n v="11"/>
    <n v="187"/>
    <n v="1.43878216339494"/>
    <n v="48.879965300611438"/>
    <n v="5.2517524590393307E-2"/>
    <s v="NO"/>
  </r>
  <r>
    <x v="152"/>
    <n v="9071733"/>
    <n v="472756"/>
    <n v="4458093"/>
    <n v="4140884"/>
    <n v="137858"/>
    <n v="3571"/>
    <n v="91218"/>
    <n v="5"/>
    <n v="49"/>
    <n v="11"/>
    <n v="187"/>
    <n v="1.5196434903893199"/>
    <n v="49.142683101453713"/>
    <n v="5.2113085779751232E-2"/>
    <s v="NO"/>
  </r>
  <r>
    <x v="153"/>
    <n v="9237071"/>
    <n v="478067"/>
    <n v="4561696"/>
    <n v="4197308"/>
    <n v="165338"/>
    <n v="5311"/>
    <n v="103603"/>
    <n v="5"/>
    <n v="49"/>
    <n v="10"/>
    <n v="187"/>
    <n v="1.78993968975663"/>
    <n v="49.384658838283265"/>
    <n v="5.1755258782789478E-2"/>
    <s v="NO"/>
  </r>
  <r>
    <x v="154"/>
    <n v="9408254"/>
    <n v="483328"/>
    <n v="4677005"/>
    <n v="4247921"/>
    <n v="171183"/>
    <n v="5261"/>
    <n v="115309"/>
    <n v="5"/>
    <n v="50"/>
    <n v="10"/>
    <n v="187"/>
    <n v="1.81949807052403"/>
    <n v="49.711721218410979"/>
    <n v="5.1372762682640155E-2"/>
    <s v="NO"/>
  </r>
  <r>
    <x v="155"/>
    <n v="9586141"/>
    <n v="489955"/>
    <n v="4769458"/>
    <n v="4326728"/>
    <n v="177887"/>
    <n v="6627"/>
    <n v="92453"/>
    <n v="5"/>
    <n v="50"/>
    <n v="10"/>
    <n v="187"/>
    <n v="1.8556685114479301"/>
    <n v="49.753680860734264"/>
    <n v="5.1110765009611273E-2"/>
    <s v="NO"/>
  </r>
  <r>
    <x v="156"/>
    <n v="9777487"/>
    <n v="494782"/>
    <n v="4875774"/>
    <n v="4406931"/>
    <n v="191346"/>
    <n v="4827"/>
    <n v="106316"/>
    <n v="5"/>
    <n v="50"/>
    <n v="10"/>
    <n v="187"/>
    <n v="1.9570059259603201"/>
    <n v="49.867353441635871"/>
    <n v="5.0604209445637718E-2"/>
    <s v="NO"/>
  </r>
  <r>
    <x v="157"/>
    <n v="9955597"/>
    <n v="499268"/>
    <n v="4981808"/>
    <n v="4474521"/>
    <n v="178110"/>
    <n v="4486"/>
    <n v="106034"/>
    <n v="5"/>
    <n v="50"/>
    <n v="10"/>
    <n v="187"/>
    <n v="1.7890438915918401"/>
    <n v="50.040273827877925"/>
    <n v="5.0149478730406621E-2"/>
    <s v="NO"/>
  </r>
  <r>
    <x v="158"/>
    <n v="10117227"/>
    <n v="502357"/>
    <n v="5070592"/>
    <n v="4544278"/>
    <n v="162349"/>
    <n v="3089"/>
    <n v="88784"/>
    <n v="5"/>
    <n v="50"/>
    <n v="10"/>
    <n v="187"/>
    <n v="1.6046788314624201"/>
    <n v="50.118397066706123"/>
    <n v="4.9653625444995943E-2"/>
    <s v="NO"/>
  </r>
  <r>
    <x v="159"/>
    <n v="10275799"/>
    <n v="506078"/>
    <n v="5164494"/>
    <n v="4605227"/>
    <n v="158572"/>
    <n v="3721"/>
    <n v="93902"/>
    <n v="5"/>
    <n v="50"/>
    <n v="10"/>
    <n v="187"/>
    <n v="1.5431598068432399"/>
    <n v="50.258807125363191"/>
    <n v="4.9249503615241989E-2"/>
    <s v="NO"/>
  </r>
  <r>
    <x v="160"/>
    <n v="10449697"/>
    <n v="511210"/>
    <n v="5281459"/>
    <n v="4657028"/>
    <n v="173898"/>
    <n v="5132"/>
    <n v="116965"/>
    <n v="5"/>
    <n v="51"/>
    <n v="10"/>
    <n v="187"/>
    <n v="1.6641439459919301"/>
    <n v="50.541742980681633"/>
    <n v="4.8921035700843767E-2"/>
    <s v="NO"/>
  </r>
  <r>
    <x v="161"/>
    <n v="10667386"/>
    <n v="516221"/>
    <n v="5397083"/>
    <n v="4754082"/>
    <n v="217689"/>
    <n v="5011"/>
    <n v="115624"/>
    <n v="5"/>
    <n v="51"/>
    <n v="10"/>
    <n v="187"/>
    <n v="2.0406967555125499"/>
    <n v="50.594241175860702"/>
    <n v="4.8392455283796799E-2"/>
    <s v="YES"/>
  </r>
  <r>
    <x v="162"/>
    <n v="10875091"/>
    <n v="521341"/>
    <n v="5681477"/>
    <n v="4672273"/>
    <n v="207705"/>
    <n v="5120"/>
    <n v="284394"/>
    <n v="5"/>
    <n v="52"/>
    <n v="9"/>
    <n v="187"/>
    <n v="1.9099150526648501"/>
    <n v="52.243029506603669"/>
    <n v="4.7939001154105286E-2"/>
    <s v="YES"/>
  </r>
  <r>
    <x v="163"/>
    <n v="11078585"/>
    <n v="526336"/>
    <n v="5790942"/>
    <n v="4761307"/>
    <n v="203495"/>
    <n v="4995"/>
    <n v="109465"/>
    <n v="5"/>
    <n v="52"/>
    <n v="9"/>
    <n v="187"/>
    <n v="1.83683205030245"/>
    <n v="52.271494960773424"/>
    <n v="4.7509316397355797E-2"/>
    <s v="NO"/>
  </r>
  <r>
    <x v="164"/>
    <n v="11272152"/>
    <n v="530705"/>
    <n v="5986375"/>
    <n v="4755072"/>
    <n v="193567"/>
    <n v="4369"/>
    <n v="195433"/>
    <n v="5"/>
    <n v="53"/>
    <n v="9"/>
    <n v="187"/>
    <n v="1.71721424622379"/>
    <n v="53.107649719414717"/>
    <n v="4.7081072008255391E-2"/>
    <s v="NO"/>
  </r>
  <r>
    <x v="165"/>
    <n v="11454847"/>
    <n v="534150"/>
    <n v="6105546"/>
    <n v="4815151"/>
    <n v="182695"/>
    <n v="3445"/>
    <n v="119171"/>
    <n v="5"/>
    <n v="53"/>
    <n v="9"/>
    <n v="187"/>
    <n v="1.5949143624528599"/>
    <n v="53.300982544769035"/>
    <n v="4.6630915279793787E-2"/>
    <s v="NO"/>
  </r>
  <r>
    <x v="166"/>
    <n v="11622190"/>
    <n v="537947"/>
    <n v="6228768"/>
    <n v="4855475"/>
    <n v="167343"/>
    <n v="3797"/>
    <n v="123222"/>
    <n v="5"/>
    <n v="54"/>
    <n v="9"/>
    <n v="187"/>
    <n v="1.4398577204468399"/>
    <n v="53.593754705438478"/>
    <n v="4.628619907263605E-2"/>
    <s v="NO"/>
  </r>
  <r>
    <x v="167"/>
    <n v="11833034"/>
    <n v="544054"/>
    <n v="6373513"/>
    <n v="4915467"/>
    <n v="210844"/>
    <n v="6107"/>
    <n v="144745"/>
    <n v="5"/>
    <n v="54"/>
    <n v="9"/>
    <n v="187"/>
    <n v="1.78182535434277"/>
    <n v="53.862035721354303"/>
    <n v="4.5977557404128136E-2"/>
    <s v="YES"/>
  </r>
  <r>
    <x v="168"/>
    <n v="12044836"/>
    <n v="549373"/>
    <n v="6531016"/>
    <n v="4964447"/>
    <n v="211802"/>
    <n v="5319"/>
    <n v="157503"/>
    <n v="5"/>
    <n v="54"/>
    <n v="8"/>
    <n v="187"/>
    <n v="1.7584465243030301"/>
    <n v="54.222539850272767"/>
    <n v="4.5610666679064785E-2"/>
    <s v="YES"/>
  </r>
  <r>
    <x v="169"/>
    <n v="12273063"/>
    <n v="554831"/>
    <n v="6665237"/>
    <n v="5052995"/>
    <n v="228227"/>
    <n v="5458"/>
    <n v="134221"/>
    <n v="5"/>
    <n v="54"/>
    <n v="8"/>
    <n v="187"/>
    <n v="1.8595765376581199"/>
    <n v="54.307852897031495"/>
    <n v="4.5207215183365394E-2"/>
    <s v="YES"/>
  </r>
  <r>
    <x v="170"/>
    <n v="12505640"/>
    <n v="560142"/>
    <n v="6804254"/>
    <n v="5141244"/>
    <n v="232577"/>
    <n v="5311"/>
    <n v="139017"/>
    <n v="4"/>
    <n v="54"/>
    <n v="8"/>
    <n v="187"/>
    <n v="1.8597768686768501"/>
    <n v="54.409482441522385"/>
    <n v="4.4791150233014866E-2"/>
    <s v="YES"/>
  </r>
  <r>
    <x v="171"/>
    <n v="12721968"/>
    <n v="565039"/>
    <n v="6929711"/>
    <n v="5227218"/>
    <n v="216328"/>
    <n v="4897"/>
    <n v="125457"/>
    <n v="4"/>
    <n v="54"/>
    <n v="8"/>
    <n v="187"/>
    <n v="1.7004287386982899"/>
    <n v="54.470432562006131"/>
    <n v="4.441443336439771E-2"/>
    <s v="YES"/>
  </r>
  <r>
    <x v="172"/>
    <n v="12914636"/>
    <n v="568993"/>
    <n v="7041174"/>
    <n v="5304469"/>
    <n v="192668"/>
    <n v="3954"/>
    <n v="111463"/>
    <n v="4"/>
    <n v="55"/>
    <n v="8"/>
    <n v="187"/>
    <n v="1.4918577650969"/>
    <n v="54.520886225519639"/>
    <n v="4.4057997453431905E-2"/>
    <s v="NO"/>
  </r>
  <r>
    <x v="173"/>
    <n v="13107415"/>
    <n v="572808"/>
    <n v="7181139"/>
    <n v="5353468"/>
    <n v="192779"/>
    <n v="3815"/>
    <n v="139965"/>
    <n v="4"/>
    <n v="55"/>
    <n v="8"/>
    <n v="187"/>
    <n v="1.47076292312405"/>
    <n v="54.786843935283954"/>
    <n v="4.3701065389323522E-2"/>
    <s v="NO"/>
  </r>
  <r>
    <x v="174"/>
    <n v="13328867"/>
    <n v="578468"/>
    <n v="7322897"/>
    <n v="5427502"/>
    <n v="221452"/>
    <n v="5660"/>
    <n v="141758"/>
    <n v="4"/>
    <n v="55"/>
    <n v="8"/>
    <n v="187"/>
    <n v="1.6614465430557599"/>
    <n v="54.940131070405307"/>
    <n v="4.3399637793669933E-2"/>
    <s v="YES"/>
  </r>
  <r>
    <x v="175"/>
    <n v="13559984"/>
    <n v="583961"/>
    <n v="7482320"/>
    <n v="5493703"/>
    <n v="231122"/>
    <n v="5493"/>
    <n v="159423"/>
    <n v="4"/>
    <n v="55"/>
    <n v="8"/>
    <n v="187"/>
    <n v="1.7044415391640599"/>
    <n v="55.179416140904003"/>
    <n v="4.3065021315659369E-2"/>
    <s v="YES"/>
  </r>
  <r>
    <x v="176"/>
    <n v="13812525"/>
    <n v="589760"/>
    <n v="7634241"/>
    <n v="5588524"/>
    <n v="252544"/>
    <n v="5799"/>
    <n v="151921"/>
    <n v="4"/>
    <n v="55"/>
    <n v="8"/>
    <n v="187"/>
    <n v="1.8283695414126"/>
    <n v="55.270423039958295"/>
    <n v="4.2697479280580486E-2"/>
    <s v="YES"/>
  </r>
  <r>
    <x v="177"/>
    <n v="14054563"/>
    <n v="596503"/>
    <n v="7793760"/>
    <n v="5664300"/>
    <n v="242038"/>
    <n v="6743"/>
    <n v="159519"/>
    <n v="4"/>
    <n v="55"/>
    <n v="8"/>
    <n v="187"/>
    <n v="1.72213109721021"/>
    <n v="55.453591833484971"/>
    <n v="4.2441945722538649E-2"/>
    <s v="YES"/>
  </r>
  <r>
    <x v="178"/>
    <n v="14292198"/>
    <n v="602130"/>
    <n v="7944550"/>
    <n v="5745518"/>
    <n v="237635"/>
    <n v="5627"/>
    <n v="150790"/>
    <n v="4"/>
    <n v="56"/>
    <n v="8"/>
    <n v="187"/>
    <n v="1.6626903713480601"/>
    <n v="55.586621455985984"/>
    <n v="4.2129978887781992E-2"/>
    <s v="YES"/>
  </r>
  <r>
    <x v="179"/>
    <n v="14506845"/>
    <n v="606159"/>
    <n v="8032235"/>
    <n v="5868451"/>
    <n v="214647"/>
    <n v="4029"/>
    <n v="87685"/>
    <n v="4"/>
    <n v="55"/>
    <n v="8"/>
    <n v="187"/>
    <n v="1.4796256525798701"/>
    <n v="55.368586346652215"/>
    <n v="4.1784343873530048E-2"/>
    <s v="YES"/>
  </r>
  <r>
    <x v="180"/>
    <n v="14713623"/>
    <n v="610319"/>
    <n v="8190777"/>
    <n v="5912527"/>
    <n v="206778"/>
    <n v="4160"/>
    <n v="158542"/>
    <n v="4"/>
    <n v="56"/>
    <n v="7"/>
    <n v="187"/>
    <n v="1.4053506739978301"/>
    <n v="55.667981978333955"/>
    <n v="4.1479858495762738E-2"/>
    <s v="NO"/>
  </r>
  <r>
    <x v="181"/>
    <n v="14947078"/>
    <n v="616557"/>
    <n v="8364986"/>
    <n v="5965535"/>
    <n v="233565"/>
    <n v="6238"/>
    <n v="174209"/>
    <n v="4"/>
    <n v="56"/>
    <n v="7"/>
    <n v="187"/>
    <n v="1.5626131073912899"/>
    <n v="55.96402186434031"/>
    <n v="4.1249333147254603E-2"/>
    <s v="YES"/>
  </r>
  <r>
    <x v="182"/>
    <n v="15227725"/>
    <n v="623540"/>
    <n v="8541255"/>
    <n v="6062930"/>
    <n v="280647"/>
    <n v="6983"/>
    <n v="176269"/>
    <n v="4"/>
    <n v="56"/>
    <n v="7"/>
    <n v="187"/>
    <n v="1.8430001855168801"/>
    <n v="56.090157919190162"/>
    <n v="4.094767931519646E-2"/>
    <s v="YES"/>
  </r>
  <r>
    <x v="183"/>
    <n v="15510481"/>
    <n v="633506"/>
    <n v="8710969"/>
    <n v="6166006"/>
    <n v="282756"/>
    <n v="9966"/>
    <n v="169714"/>
    <n v="4"/>
    <n v="56"/>
    <n v="7"/>
    <n v="187"/>
    <n v="1.822999557525"/>
    <n v="56.161823737123306"/>
    <n v="4.0843736567550679E-2"/>
    <s v="YES"/>
  </r>
  <r>
    <x v="184"/>
    <n v="15791645"/>
    <n v="639650"/>
    <n v="8939705"/>
    <n v="6212290"/>
    <n v="281164"/>
    <n v="6144"/>
    <n v="228736"/>
    <n v="4"/>
    <n v="57"/>
    <n v="7"/>
    <n v="187"/>
    <n v="1.7804604903415699"/>
    <n v="56.610346800475817"/>
    <n v="4.0505596472058487E-2"/>
    <s v="YES"/>
  </r>
  <r>
    <x v="185"/>
    <n v="16047190"/>
    <n v="644517"/>
    <n v="9158743"/>
    <n v="6243930"/>
    <n v="255545"/>
    <n v="4867"/>
    <n v="219038"/>
    <n v="4"/>
    <n v="57"/>
    <n v="7"/>
    <n v="187"/>
    <n v="1.5924594897922899"/>
    <n v="57.07381167668607"/>
    <n v="4.0163854232423246E-2"/>
    <s v="YES"/>
  </r>
  <r>
    <x v="186"/>
    <n v="16251796"/>
    <n v="648621"/>
    <n v="9293464"/>
    <n v="6309711"/>
    <n v="204606"/>
    <n v="4104"/>
    <n v="134721"/>
    <n v="4"/>
    <n v="57"/>
    <n v="7"/>
    <n v="187"/>
    <n v="1.25897470039619"/>
    <n v="57.184227515531205"/>
    <n v="3.9910727405143405E-2"/>
    <s v="NO"/>
  </r>
  <r>
    <x v="187"/>
    <n v="16480485"/>
    <n v="654036"/>
    <n v="9468087"/>
    <n v="6358362"/>
    <n v="228693"/>
    <n v="5415"/>
    <n v="174623"/>
    <n v="4"/>
    <n v="57"/>
    <n v="7"/>
    <n v="187"/>
    <n v="1.3876594044410699"/>
    <n v="57.450293483474546"/>
    <n v="3.9685482557097078E-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5591B9-EDBB-4BDE-82BC-A1FAF4391295}" name="PivotTable2" cacheId="11" applyNumberFormats="0" applyBorderFormats="0" applyFontFormats="0" applyPatternFormats="0" applyAlignmentFormats="0" applyWidthHeightFormats="1" dataCaption="Values" tag="d58ccfaa-cca0-4b76-8b12-4f0485ab279d" updatedVersion="8" minRefreshableVersion="3" useAutoFormatting="1" itemPrintTitles="1" createdVersion="8" indent="0" outline="1" outlineData="1" multipleFieldFilters="0" chartFormat="39" rowHeaderCaption="Months">
  <location ref="G2:J1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New cases" fld="2" baseField="0" baseItem="0"/>
    <dataField name="New deaths" fld="1" baseField="0" baseItem="0"/>
    <dataField name="New recovered"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ew cases"/>
    <pivotHierarchy dragToData="1" caption="New deaths"/>
    <pivotHierarchy dragToData="1" caption="New recover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25BE74-2A6C-4FA1-96CC-496CB78A8FFC}" name="PivotTable1" cacheId="10" applyNumberFormats="0" applyBorderFormats="0" applyFontFormats="0" applyPatternFormats="0" applyAlignmentFormats="0" applyWidthHeightFormats="1" dataCaption="Values" tag="ecd69514-6692-4df5-bfcd-8b5a196b97fb" updatedVersion="8" minRefreshableVersion="3" useAutoFormatting="1" itemPrintTitles="1" createdVersion="8" indent="0" outline="1" outlineData="1" multipleFieldFilters="0" chartFormat="36" rowHeaderCaption="Months">
  <location ref="A2:E10" firstHeaderRow="0" firstDataRow="1" firstDataCol="1"/>
  <pivotFields count="5">
    <pivotField axis="axisRow" allDrilled="1" subtotalTop="0" showAll="0" dataSourceSort="1" defaultSubtotal="0">
      <items count="7">
        <item x="0" e="0"/>
        <item x="1" e="0"/>
        <item x="2" e="0"/>
        <item x="3" e="0"/>
        <item x="4" e="0"/>
        <item x="5" e="0"/>
        <item x="6" e="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Confirmed Cases" fld="2" subtotal="max" baseField="0" baseItem="0"/>
    <dataField name="Total Deaths" fld="1" subtotal="max" baseField="0" baseItem="0"/>
    <dataField name="Active Cases" fld="3" subtotal="max" baseField="0" baseItem="0"/>
    <dataField name="Recovered Cases" fld="4" subtotal="max"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5"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2"/>
          </reference>
        </references>
      </pivotArea>
    </chartFormat>
    <chartFormat chart="35" format="10" series="1">
      <pivotArea type="data" outline="0" fieldPosition="0">
        <references count="1">
          <reference field="4294967294" count="1" selected="0">
            <x v="3"/>
          </reference>
        </references>
      </pivotArea>
    </chartFormat>
    <chartFormat chart="35" format="11"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tive Cases"/>
    <pivotHierarchy dragToData="1"/>
    <pivotHierarchy dragToData="1"/>
    <pivotHierarchy dragToData="1"/>
    <pivotHierarchy dragToData="1"/>
    <pivotHierarchy dragToData="1"/>
    <pivotHierarchy dragToData="1"/>
    <pivotHierarchy dragToData="1" caption="Recovered Cases"/>
    <pivotHierarchy dragToData="1" caption="Total Deaths"/>
    <pivotHierarchy dragToData="1" caption="Confirmed Cas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8E0C4-FCB4-43A9-BF7D-BE5BD92C3B98}" name="PivotTable11" cacheId="3" applyNumberFormats="0" applyBorderFormats="0" applyFontFormats="0" applyPatternFormats="0" applyAlignmentFormats="0" applyWidthHeightFormats="1" dataCaption="Values" tag="100f1d83-b83a-4ace-a51d-06706a7ea705" updatedVersion="8" minRefreshableVersion="3" useAutoFormatting="1" subtotalHiddenItems="1" itemPrintTitles="1" createdVersion="8" indent="0" outline="1" outlineData="1" multipleFieldFilters="0" chartFormat="27" rowHeaderCaption="Months ">
  <location ref="A4:E12" firstHeaderRow="0" firstDataRow="1" firstDataCol="1"/>
  <pivotFields count="6">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7">
        <item x="0" e="0"/>
        <item x="1" e="0"/>
        <item x="2" e="0"/>
        <item x="3" e="0"/>
        <item x="4" e="0"/>
        <item x="5" e="0"/>
        <item x="6" e="0"/>
      </items>
    </pivotField>
  </pivotFields>
  <rowFields count="2">
    <field x="5"/>
    <field x="0"/>
  </rowFields>
  <rowItems count="8">
    <i>
      <x/>
    </i>
    <i>
      <x v="1"/>
    </i>
    <i>
      <x v="2"/>
    </i>
    <i>
      <x v="3"/>
    </i>
    <i>
      <x v="4"/>
    </i>
    <i>
      <x v="5"/>
    </i>
    <i>
      <x v="6"/>
    </i>
    <i t="grand">
      <x/>
    </i>
  </rowItems>
  <colFields count="1">
    <field x="-2"/>
  </colFields>
  <colItems count="4">
    <i>
      <x/>
    </i>
    <i i="1">
      <x v="1"/>
    </i>
    <i i="2">
      <x v="2"/>
    </i>
    <i i="3">
      <x v="3"/>
    </i>
  </colItems>
  <dataFields count="4">
    <dataField name="Sum of Confirmed Cases" fld="1" baseField="0" baseItem="0"/>
    <dataField name="Sum of Total Deaths" fld="2" baseField="0" baseItem="0"/>
    <dataField name="Sum of Total Recovered Cases" fld="3" baseField="0" baseItem="0"/>
    <dataField name="Sum of Active Cases" fld="4"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4A0AE-8CAC-4D24-8B9A-64E695A7E7D7}" name="PivotTable12" cacheId="4" applyNumberFormats="0" applyBorderFormats="0" applyFontFormats="0" applyPatternFormats="0" applyAlignmentFormats="0" applyWidthHeightFormats="1" dataCaption="Values" tag="d1fa5d03-df02-47eb-9348-ae0346a7a381" updatedVersion="8" minRefreshableVersion="3" useAutoFormatting="1" subtotalHiddenItems="1" itemPrintTitles="1" createdVersion="8" indent="0" outline="1" outlineData="1" multipleFieldFilters="0" chartFormat="12">
  <location ref="H4:K12" firstHeaderRow="0" firstDataRow="1" firstDataCol="1"/>
  <pivotFields count="4">
    <pivotField axis="axisRow" allDrilled="1" subtotalTop="0" showAll="0"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Sum of New cases" fld="1" baseField="0" baseItem="0"/>
    <dataField name="Sum of New deaths" fld="2" baseField="0" baseItem="0"/>
    <dataField name="Sum of New recovered"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980FBD-1398-47EC-BC28-8360D9F41C5F}" name="PivotTable13" cacheId="5" applyNumberFormats="0" applyBorderFormats="0" applyFontFormats="0" applyPatternFormats="0" applyAlignmentFormats="0" applyWidthHeightFormats="1" dataCaption="Values" tag="fbeb9ef5-38dc-4c87-aa3f-731e8703a827" updatedVersion="8" minRefreshableVersion="3" useAutoFormatting="1" subtotalHiddenItems="1" itemPrintTitles="1" createdVersion="8" indent="0" outline="1" outlineData="1" multipleFieldFilters="0" chartFormat="14">
  <location ref="A3:B5" firstHeaderRow="1" firstDataRow="1" firstDataCol="1"/>
  <pivotFields count="3">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xis="axisRow" allDrilled="1" subtotalTop="0" showAll="0" defaultSubtotal="0">
      <items count="1">
        <item s="1" x="0" e="0"/>
      </items>
    </pivotField>
    <pivotField dataField="1" subtotalTop="0" showAll="0" defaultSubtotal="0"/>
  </pivotFields>
  <rowFields count="2">
    <field x="1"/>
    <field x="0"/>
  </rowFields>
  <rowItems count="2">
    <i>
      <x/>
    </i>
    <i t="grand">
      <x/>
    </i>
  </rowItems>
  <colItems count="1">
    <i/>
  </colItems>
  <dataFields count="1">
    <dataField name="Max of No. of countries" fld="2" subtotal="max" baseField="0" baseItem="0"/>
  </dataFields>
  <chartFormats count="1">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3B2D2-6D4E-43C1-93B8-F7A7C8E35992}" name="PivotTable3" cacheId="6" applyNumberFormats="0" applyBorderFormats="0" applyFontFormats="0" applyPatternFormats="0" applyAlignmentFormats="0" applyWidthHeightFormats="1" dataCaption="Values" tag="1da41b3c-6c85-4c6f-b171-fc55e4dc1b37" updatedVersion="8" minRefreshableVersion="3" useAutoFormatting="1" subtotalHiddenItems="1" itemPrintTitles="1" createdVersion="8" indent="0" outline="1" outlineData="1" multipleFieldFilters="0" chartFormat="10">
  <location ref="I30:K38" firstHeaderRow="0" firstDataRow="1" firstDataCol="1"/>
  <pivotFields count="3">
    <pivotField dataField="1" subtotalTop="0" showAll="0" defaultSubtotal="0"/>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Recovery Rate" fld="0"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86AD13-7F67-44E9-8139-FDCC8FF04287}" name="PivotTable15" cacheId="1" applyNumberFormats="0" applyBorderFormats="0" applyFontFormats="0" applyPatternFormats="0" applyAlignmentFormats="0" applyWidthHeightFormats="1" dataCaption="Values" tag="b5bd8814-9b9d-4ff5-af2d-517bb0f2edda" updatedVersion="8" minRefreshableVersion="3" useAutoFormatting="1" subtotalHiddenItems="1" itemPrintTitles="1" createdVersion="8" indent="0" outline="1" outlineData="1" multipleFieldFilters="0" chartFormat="9">
  <location ref="G3:J11" firstHeaderRow="0" firstDataRow="1" firstDataCol="1"/>
  <pivotFields count="5">
    <pivotField axis="axisRow" allDrilled="1" subtotalTop="0" showAll="0" dataSourceSort="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dataField="1" subtotalTop="0" showAll="0" defaultSubtotal="0"/>
    <pivotField dataField="1" subtotalTop="0" showAll="0" defaultSubtotal="0"/>
  </pivotFields>
  <rowFields count="2">
    <field x="1"/>
    <field x="0"/>
  </rowFields>
  <rowItems count="8">
    <i>
      <x/>
    </i>
    <i>
      <x v="1"/>
    </i>
    <i>
      <x v="2"/>
    </i>
    <i>
      <x v="3"/>
    </i>
    <i>
      <x v="4"/>
    </i>
    <i>
      <x v="5"/>
    </i>
    <i>
      <x v="6"/>
    </i>
    <i t="grand">
      <x/>
    </i>
  </rowItems>
  <colFields count="1">
    <field x="-2"/>
  </colFields>
  <colItems count="3">
    <i>
      <x/>
    </i>
    <i i="1">
      <x v="1"/>
    </i>
    <i i="2">
      <x v="2"/>
    </i>
  </colItems>
  <dataFields count="3">
    <dataField name="Average of Deaths / 100 Cases" fld="4" subtotal="average" baseField="0" baseItem="0"/>
    <dataField name="Sum of Recovered / 100 Cases" fld="2" baseField="0" baseItem="0"/>
    <dataField name="Sum of Deaths / 100 Recovered" fld="3" baseField="0" baseItem="0"/>
  </dataFields>
  <formats count="1">
    <format dxfId="2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31F2E2-13C6-4D38-95FC-FC646D1DE3E6}" name="PivotTable4" cacheId="13" applyNumberFormats="0" applyBorderFormats="0" applyFontFormats="0" applyPatternFormats="0" applyAlignmentFormats="0" applyWidthHeightFormats="1" dataCaption="Values" tag="9efbc6c3-37a4-4dea-80a6-175af3b23723" updatedVersion="8" minRefreshableVersion="3" useAutoFormatting="1" itemPrintTitles="1" createdVersion="8" indent="0" outline="1" outlineData="1" multipleFieldFilters="0" chartFormat="6" rowHeaderCaption="Months">
  <location ref="F1:H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Recovery Rate"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Recovery Rat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728479-46E5-4C89-BF6E-72FCC244EAD7}" name="PivotTable3" cacheId="12" applyNumberFormats="0" applyBorderFormats="0" applyFontFormats="0" applyPatternFormats="0" applyAlignmentFormats="0" applyWidthHeightFormats="1" dataCaption="Values" tag="b21fee89-7735-42c2-9def-96a9c94c415c" updatedVersion="8" minRefreshableVersion="3" useAutoFormatting="1" itemPrintTitles="1" createdVersion="8" indent="0" outline="1" outlineData="1" multipleFieldFilters="0" chartFormat="7" rowHeaderCaption="Months">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Max of No. of countries" fld="1"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A3C05B-3E66-4104-8644-F0F374E1F9E2}" name="PivotTable16" cacheId="7" applyNumberFormats="0" applyBorderFormats="0" applyFontFormats="0" applyPatternFormats="0" applyAlignmentFormats="0" applyWidthHeightFormats="1" dataCaption="Values" tag="d004920f-247f-496f-856b-92f91f80ad98" updatedVersion="8" minRefreshableVersion="3" useAutoFormatting="1" subtotalHiddenItems="1" itemPrintTitles="1" createdVersion="8" indent="0" outline="1" outlineData="1" multipleFieldFilters="0" chartFormat="11">
  <location ref="A3:B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Max of Active Cases" fld="1"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2AAD20-B3D5-4874-A888-1952BC0DC2E2}" name="PivotTable2" cacheId="0" applyNumberFormats="0" applyBorderFormats="0" applyFontFormats="0" applyPatternFormats="0" applyAlignmentFormats="0" applyWidthHeightFormats="1" dataCaption="Values" tag="1ba44647-4788-4f11-9d0e-0ee924d1ebbd" updatedVersion="8" minRefreshableVersion="3" useAutoFormatting="1" subtotalHiddenItems="1" itemPrintTitles="1" createdVersion="8" indent="0" outline="1" outlineData="1" multipleFieldFilters="0" chartFormat="27" rowHeaderCaption="Months">
  <location ref="H3:I11" firstHeaderRow="1" firstDataRow="1" firstDataCol="1"/>
  <pivotFields count="4">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2">
    <field x="1"/>
    <field x="0"/>
  </rowFields>
  <rowItems count="8">
    <i>
      <x/>
    </i>
    <i>
      <x v="1"/>
    </i>
    <i>
      <x v="2"/>
    </i>
    <i>
      <x v="3"/>
    </i>
    <i>
      <x v="4"/>
    </i>
    <i>
      <x v="5"/>
    </i>
    <i>
      <x v="6"/>
    </i>
    <i t="grand">
      <x/>
    </i>
  </rowItems>
  <colItems count="1">
    <i/>
  </colItems>
  <dataFields count="1">
    <dataField name="Average of Daily Growth %" fld="2"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Range]"/>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F0E13D-8838-4CAE-BBAA-D39D0ED2AFC0}" name="PivotTable18" cacheId="8" applyNumberFormats="0" applyBorderFormats="0" applyFontFormats="0" applyPatternFormats="0" applyAlignmentFormats="0" applyWidthHeightFormats="1" dataCaption="Values" tag="7cbd7185-ed1e-433e-90cf-586ad5925fe1" updatedVersion="8" minRefreshableVersion="3" useAutoFormatting="1" subtotalHiddenItems="1" itemPrintTitles="1" createdVersion="8" indent="0" outline="1" outlineData="1" multipleFieldFilters="0" chartFormat="9">
  <location ref="H15:I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Daily Growth %" fld="1" subtotal="average" baseField="0" baseItem="0" numFmtId="2"/>
  </dataFields>
  <formats count="7">
    <format dxfId="26">
      <pivotArea outline="0" collapsedLevelsAreSubtotals="1"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AC6245-D862-4BAA-B9E1-EDDFBF7D8691}" name="PivotTable5" cacheId="14" applyNumberFormats="0" applyBorderFormats="0" applyFontFormats="0" applyPatternFormats="0" applyAlignmentFormats="0" applyWidthHeightFormats="1" dataCaption="Values" tag="1d63170e-586e-418a-bf77-774d7d45d664" updatedVersion="8" minRefreshableVersion="3" useAutoFormatting="1" itemPrintTitles="1" createdVersion="8" indent="0" outline="1" outlineData="1" multipleFieldFilters="0" chartFormat="6" rowHeaderCaption="Months">
  <location ref="A2:B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Max of Active Cases" fld="1" subtotal="max"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7251B4-F89B-4DFF-88DE-CB40B29FA210}" name="PivotTable6" cacheId="15" applyNumberFormats="0" applyBorderFormats="0" applyFontFormats="0" applyPatternFormats="0" applyAlignmentFormats="0" applyWidthHeightFormats="1" dataCaption="Values" tag="ed5c2bf2-56dd-4f27-9694-90414d371f9c" updatedVersion="8" minRefreshableVersion="3" useAutoFormatting="1" itemPrintTitles="1" createdVersion="8" indent="0" outline="1" outlineData="1" multipleFieldFilters="0" chartFormat="4" rowHeaderCaption="Months">
  <location ref="F3:G11" firstHeaderRow="1" firstDataRow="1" firstDataCol="1"/>
  <pivotFields count="2">
    <pivotField axis="axisRow" allDrilled="1" subtotalTop="0" showAll="0" dataSourceSort="1" defaultSubtotal="0">
      <items count="7">
        <item x="0" e="0"/>
        <item x="1" e="0"/>
        <item x="2" e="0"/>
        <item x="3" e="0"/>
        <item x="4" e="0"/>
        <item x="5" e="0"/>
        <item x="6" e="0"/>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Daily Growth %" fld="1" subtotal="average" baseField="0" baseItem="0" numFmtId="2"/>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version 2).xlsb!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8BAEDF-4A1A-4F1F-9CF9-6748D1778822}" name="PivotTable2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G27" firstHeaderRow="0" firstDataRow="1" firstDataCol="1"/>
  <pivotFields count="23">
    <pivotField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numFmtId="2" showAll="0"/>
    <pivotField numFmtId="9" showAll="0"/>
    <pivotField showAll="0"/>
    <pivotField dataField="1"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1"/>
  </rowFields>
  <rowItems count="8">
    <i>
      <x v="1"/>
    </i>
    <i>
      <x v="2"/>
    </i>
    <i>
      <x v="3"/>
    </i>
    <i>
      <x v="4"/>
    </i>
    <i>
      <x v="5"/>
    </i>
    <i>
      <x v="6"/>
    </i>
    <i>
      <x v="7"/>
    </i>
    <i t="grand">
      <x/>
    </i>
  </rowItems>
  <colFields count="1">
    <field x="-2"/>
  </colFields>
  <colItems count="6">
    <i>
      <x/>
    </i>
    <i i="1">
      <x v="1"/>
    </i>
    <i i="2">
      <x v="2"/>
    </i>
    <i i="3">
      <x v="3"/>
    </i>
    <i i="4">
      <x v="4"/>
    </i>
    <i i="5">
      <x v="5"/>
    </i>
  </colItems>
  <dataFields count="6">
    <dataField name="Sum of Confirmed Cases" fld="1" baseField="0" baseItem="0"/>
    <dataField name="Sum of Total Deaths" fld="2" baseField="0" baseItem="0"/>
    <dataField name="Sum of Total Recovered Cases" fld="3" baseField="0" baseItem="0"/>
    <dataField name="Sum of Active Cases" fld="4" baseField="0" baseItem="0"/>
    <dataField name="Sum of Recovery %" fld="16" baseField="0" baseItem="0"/>
    <dataField name="Sum of Mortality %"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BCEB26-3AD4-4F5F-AAB3-3738BCF664B8}" name="PivotTable3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4:J12" firstHeaderRow="1" firstDataRow="1" firstDataCol="1"/>
  <pivotFields count="23">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1"/>
    <field x="0"/>
  </rowFields>
  <rowItems count="8">
    <i>
      <x v="1"/>
    </i>
    <i>
      <x v="2"/>
    </i>
    <i>
      <x v="3"/>
    </i>
    <i>
      <x v="4"/>
    </i>
    <i>
      <x v="5"/>
    </i>
    <i>
      <x v="6"/>
    </i>
    <i>
      <x v="7"/>
    </i>
    <i t="grand">
      <x/>
    </i>
  </rowItems>
  <colItems count="1">
    <i/>
  </colItems>
  <dataFields count="1">
    <dataField name="Average of Daily Growth %" fld="12"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E1433F-0CF7-4899-A03F-BA6803CDD604}" name="PivotTable19" cacheId="9" applyNumberFormats="0" applyBorderFormats="0" applyFontFormats="0" applyPatternFormats="0" applyAlignmentFormats="0" applyWidthHeightFormats="1" dataCaption="Values" tag="85a77c4a-734f-487e-b988-4cfa97082456" updatedVersion="8" minRefreshableVersion="3" useAutoFormatting="1" subtotalHiddenItems="1" itemPrintTitles="1" createdVersion="8" indent="0" outline="1" outlineData="1" multipleFieldFilters="0" rowHeaderCaption="Months">
  <location ref="A4:B12" firstHeaderRow="1" firstDataRow="1" firstDataCol="1"/>
  <pivotFields count="3">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axis="axisRow" allDrilled="1" subtotalTop="0" showAll="0" dataSourceSort="1" defaultSubtotal="0">
      <items count="7">
        <item x="0" e="0"/>
        <item x="1" e="0"/>
        <item x="2" e="0"/>
        <item x="3" e="0"/>
        <item x="4" e="0"/>
        <item x="5" e="0"/>
        <item x="6" e="0"/>
      </items>
    </pivotField>
    <pivotField dataField="1" subtotalTop="0" showAll="0" defaultSubtotal="0"/>
  </pivotFields>
  <rowFields count="2">
    <field x="1"/>
    <field x="0"/>
  </rowFields>
  <rowItems count="8">
    <i>
      <x/>
    </i>
    <i>
      <x v="1"/>
    </i>
    <i>
      <x v="2"/>
    </i>
    <i>
      <x v="3"/>
    </i>
    <i>
      <x v="4"/>
    </i>
    <i>
      <x v="5"/>
    </i>
    <i>
      <x v="6"/>
    </i>
    <i t="grand">
      <x/>
    </i>
  </rowItems>
  <colItems count="1">
    <i/>
  </colItems>
  <dataFields count="1">
    <dataField name="Sum of Confirmed" fld="2" showDataAs="percentDiff" baseField="1" baseItem="1048828" numFmtId="10"/>
  </dataFields>
  <formats count="8">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1">
            <x v="1"/>
          </reference>
        </references>
      </pivotArea>
    </format>
    <format dxfId="10">
      <pivotArea collapsedLevelsAreSubtotals="1" fieldPosition="0">
        <references count="1">
          <reference field="1" count="1">
            <x v="1"/>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wise - raw data!$A:$M">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874C61-6BED-455D-B2D2-9E29732A688F}"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2" firstHeaderRow="1" firstDataRow="1" firstDataCol="1"/>
  <pivotFields count="23">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2"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1"/>
    <field x="0"/>
  </rowFields>
  <rowItems count="8">
    <i>
      <x v="1"/>
    </i>
    <i>
      <x v="2"/>
    </i>
    <i>
      <x v="3"/>
    </i>
    <i>
      <x v="4"/>
    </i>
    <i>
      <x v="5"/>
    </i>
    <i>
      <x v="6"/>
    </i>
    <i>
      <x v="7"/>
    </i>
    <i t="grand">
      <x/>
    </i>
  </rowItems>
  <colItems count="1">
    <i/>
  </colItems>
  <dataFields count="1">
    <dataField name="Max of No. of countries" fld="1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800223-FE12-4FB5-A7CE-CEF6B3A49DF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S11" firstHeaderRow="0" firstDataRow="1" firstDataCol="1"/>
  <pivotFields count="23">
    <pivotField axis="axisRow"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numFmtId="2"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21"/>
    <field x="0"/>
  </rowFields>
  <rowItems count="8">
    <i>
      <x v="1"/>
    </i>
    <i>
      <x v="2"/>
    </i>
    <i>
      <x v="3"/>
    </i>
    <i>
      <x v="4"/>
    </i>
    <i>
      <x v="5"/>
    </i>
    <i>
      <x v="6"/>
    </i>
    <i>
      <x v="7"/>
    </i>
    <i t="grand">
      <x/>
    </i>
  </rowItems>
  <colFields count="1">
    <field x="-2"/>
  </colFields>
  <colItems count="4">
    <i>
      <x/>
    </i>
    <i i="1">
      <x v="1"/>
    </i>
    <i i="2">
      <x v="2"/>
    </i>
    <i i="3">
      <x v="3"/>
    </i>
  </colItems>
  <dataFields count="4">
    <dataField name="Sum of Confirmed Cases" fld="1" showDataAs="percentDiff" baseField="21" baseItem="1048828" numFmtId="10"/>
    <dataField name="Sum of Total Deaths" fld="2" showDataAs="percentDiff" baseField="21" baseItem="1048828" numFmtId="10"/>
    <dataField name="Sum of Total Recovered Cases" fld="3" showDataAs="percentDiff" baseField="21" baseItem="1048828" numFmtId="10"/>
    <dataField name="Sum of Active Cases" fld="4" showDataAs="percentDiff" baseField="21"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1974861-7B7A-4A13-A8B2-451658B50E82}"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9" firstHeaderRow="0" firstDataRow="1" firstDataCol="1"/>
  <pivotFields count="23">
    <pivotField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numFmtId="2"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1">
    <field x="21"/>
  </rowFields>
  <rowItems count="8">
    <i>
      <x v="1"/>
    </i>
    <i>
      <x v="2"/>
    </i>
    <i>
      <x v="3"/>
    </i>
    <i>
      <x v="4"/>
    </i>
    <i>
      <x v="5"/>
    </i>
    <i>
      <x v="6"/>
    </i>
    <i>
      <x v="7"/>
    </i>
    <i t="grand">
      <x/>
    </i>
  </rowItems>
  <colFields count="1">
    <field x="-2"/>
  </colFields>
  <colItems count="3">
    <i>
      <x/>
    </i>
    <i i="1">
      <x v="1"/>
    </i>
    <i i="2">
      <x v="2"/>
    </i>
  </colItems>
  <dataFields count="3">
    <dataField name="Sum of Confirmed Cases" fld="1" baseField="0" baseItem="0"/>
    <dataField name="Sum of Active Cases" fld="4" baseField="0" baseItem="0"/>
    <dataField name="Active Case %" fld="22" baseField="20" baseItem="1" numFmtId="9"/>
  </dataFields>
  <formats count="1">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D599A6E-1952-4667-A457-90C7BA720B2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9" firstHeaderRow="0" firstDataRow="1" firstDataCol="1"/>
  <pivotFields count="23">
    <pivotField numFmtId="14" showAll="0">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dataField="1" showAll="0"/>
    <pivotField numFmtId="2" showAll="0"/>
    <pivotField dataField="1" numFmtId="9"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21"/>
  </rowFields>
  <rowItems count="8">
    <i>
      <x v="1"/>
    </i>
    <i>
      <x v="2"/>
    </i>
    <i>
      <x v="3"/>
    </i>
    <i>
      <x v="4"/>
    </i>
    <i>
      <x v="5"/>
    </i>
    <i>
      <x v="6"/>
    </i>
    <i>
      <x v="7"/>
    </i>
    <i t="grand">
      <x/>
    </i>
  </rowItems>
  <colFields count="1">
    <field x="-2"/>
  </colFields>
  <colItems count="5">
    <i>
      <x/>
    </i>
    <i i="1">
      <x v="1"/>
    </i>
    <i i="2">
      <x v="2"/>
    </i>
    <i i="3">
      <x v="3"/>
    </i>
    <i i="4">
      <x v="4"/>
    </i>
  </colItems>
  <dataFields count="5">
    <dataField name="Max of Total Deaths" fld="2" subtotal="max" baseField="0" baseItem="0"/>
    <dataField name="Sum of New cases" fld="5" baseField="0" baseItem="0"/>
    <dataField name="Average of Daily Growth %" fld="12" subtotal="average" baseField="0" baseItem="0"/>
    <dataField name="Average of Mortality Rate %" fld="14" subtotal="average" baseField="0" baseItem="0" numFmtId="9"/>
    <dataField name="Sum of Active % of Confirmed Cas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FEFE250-F04C-4F78-8CC6-DE30D1CE9C86}" sourceName="[Table3].[Date (Month)]">
  <pivotTables>
    <pivotTable tabId="22" name="PivotTable1"/>
    <pivotTable tabId="22" name="PivotTable2"/>
    <pivotTable tabId="23" name="PivotTable3"/>
    <pivotTable tabId="23" name="PivotTable4"/>
    <pivotTable tabId="24" name="PivotTable5"/>
    <pivotTable tabId="24" name="PivotTable6"/>
  </pivotTables>
  <data>
    <olap pivotCacheId="396807610">
      <levels count="2">
        <level uniqueName="[Table3].[Date (Month)].[(All)]" sourceCaption="(All)" count="0"/>
        <level uniqueName="[Table3].[Date (Month)].[Date (Month)]" sourceCaption="Date (Month)" count="7">
          <ranges>
            <range startItem="0">
              <i n="[Table3].[Date (Month)].&amp;[Jan]" c="Jan"/>
              <i n="[Table3].[Date (Month)].&amp;[Feb]" c="Feb"/>
              <i n="[Table3].[Date (Month)].&amp;[Mar]" c="Mar"/>
              <i n="[Table3].[Date (Month)].&amp;[Apr]" c="Apr"/>
              <i n="[Table3].[Date (Month)].&amp;[May]" c="May"/>
              <i n="[Table3].[Date (Month)].&amp;[Jun]" c="Jun"/>
              <i n="[Table3].[Date (Month)].&amp;[Jul]" c="Jul"/>
            </range>
          </ranges>
        </level>
      </levels>
      <selections count="1">
        <selection n="[Table3].[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E79B4D4F-F6F8-433D-8E13-FBE679D8B0D2}" cache="Slicer_Date__Month" caption="Date (Month)"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AA97639-1070-4E68-8C51-F077D6C6AFFB}" cache="Slicer_Date__Month" caption="Date (Month)" level="1" rowHeight="251883"/>
  <slicer name="Date (Month) 1" xr10:uid="{3D5C69CD-3F1B-44A6-904E-B28F842CC5A8}" cache="Slicer_Date__Month" caption="Date (Month)"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831B8D-A330-4BEF-9BB4-FB1960D48259}" name="MAINTABLE" displayName="MAINTABLE" ref="A1:P189" totalsRowShown="0" headerRowDxfId="46" dataDxfId="45" tableBorderDxfId="44">
  <autoFilter ref="A1:P189" xr:uid="{591315EB-31BF-44A2-8A5A-9DA61FBD9E80}"/>
  <tableColumns count="16">
    <tableColumn id="1" xr3:uid="{731AE021-2475-4B20-9D77-BBB832D30F09}" name="Date" dataDxfId="43"/>
    <tableColumn id="2" xr3:uid="{32020A50-65A6-4AE7-9241-C7A23E2085FD}" name="Confirmed Cases" dataDxfId="42"/>
    <tableColumn id="3" xr3:uid="{C614E1CC-0DB3-44FD-ABFC-0768649C70CA}" name="Total Deaths" dataDxfId="41"/>
    <tableColumn id="4" xr3:uid="{7EBEAC65-E4E8-4412-B437-2593C033D133}" name="Total Recovered Cases" dataDxfId="40"/>
    <tableColumn id="5" xr3:uid="{C3FBAC33-9BA2-416D-96D5-8384EB6809E0}" name="Active Cases" dataDxfId="39"/>
    <tableColumn id="6" xr3:uid="{21FC7242-F714-4E3C-9357-9BF23292DE44}" name="New cases" dataDxfId="38"/>
    <tableColumn id="7" xr3:uid="{86FF3F11-AD19-49F2-918D-D6920293BA35}" name="New deaths" dataDxfId="37"/>
    <tableColumn id="8" xr3:uid="{685F33E6-CD40-4907-B77C-11D3910E8172}" name="New recovered" dataDxfId="36"/>
    <tableColumn id="9" xr3:uid="{E4001621-72F0-4139-BA8A-EE6064040D40}" name="Deaths / 100 Cases" dataDxfId="35"/>
    <tableColumn id="10" xr3:uid="{C6225ED5-61D1-4ABC-8A6C-7140708C453F}" name="Recovered / 100 Cases" dataDxfId="34"/>
    <tableColumn id="11" xr3:uid="{0D69B7F3-104D-4370-9875-9FF0D4178AFE}" name="Deaths / 100 Recovered %" dataDxfId="33"/>
    <tableColumn id="12" xr3:uid="{49F67A4C-D3C2-49DF-B3D7-525BECB4C22B}" name="No. of countries" dataDxfId="32"/>
    <tableColumn id="13" xr3:uid="{7984BA09-930D-4EC2-870D-5E5DBF7C33C4}" name="Daily Growth %" dataDxfId="31"/>
    <tableColumn id="14" xr3:uid="{52870D5C-430F-4544-8BC0-D26FFDB8F0A7}" name="Recovery Rate %" dataDxfId="30">
      <calculatedColumnFormula>MAINTABLE[[#This Row],[Total Recovered Cases]]/MAINTABLE[[#This Row],[Confirmed Cases]]*100</calculatedColumnFormula>
    </tableColumn>
    <tableColumn id="15" xr3:uid="{9134F7D6-B460-4145-9B1A-0942B01044C4}" name="Mortality Rate %" dataDxfId="29" dataCellStyle="Percent">
      <calculatedColumnFormula>MAINTABLE[[#This Row],[Total Deaths]]/MAINTABLE[[#This Row],[Confirmed Cases]]</calculatedColumnFormula>
    </tableColumn>
    <tableColumn id="17" xr3:uid="{7AE4F6FB-6458-4CAA-841C-59148F309493}" name="Column1" dataDxfId="28">
      <calculatedColumnFormula>IF(MAINTABLE[[#This Row],[New cases]]&gt;$U$4,"YES","NO")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E567CB-F703-4813-BF11-BB1DFF312473}" name="Table1" displayName="Table1" ref="A1:E225" totalsRowCount="1">
  <autoFilter ref="A1:E224" xr:uid="{19E567CB-F703-4813-BF11-BB1DFF312473}"/>
  <tableColumns count="5">
    <tableColumn id="1" xr3:uid="{95377F10-0B76-45E4-A1DB-74087C966DCF}" name="Date" dataDxfId="8" totalsRowDxfId="7"/>
    <tableColumn id="2" xr3:uid="{C08614C7-AD67-4A77-9852-720B48CBD33F}" name="Confirmed Cases" totalsRowDxfId="6"/>
    <tableColumn id="3" xr3:uid="{6F4DA19A-AC35-4497-93E6-C13B41CE8C72}" name="Forecast(Confirmed Cases)" totalsRowDxfId="5">
      <calculatedColumnFormula>_xlfn.FORECAST.ETS(A2,$B$2:$B$189,$A$2:$A$189,1,1)</calculatedColumnFormula>
    </tableColumn>
    <tableColumn id="4" xr3:uid="{C43D4342-A2C1-442C-B762-6887FF7540B5}" name="Lower Confidence Bound(Confirmed Cases)" dataDxfId="4" totalsRowDxfId="3">
      <calculatedColumnFormula>C2-_xlfn.FORECAST.ETS.CONFINT(A2,$B$2:$B$189,$A$2:$A$189,0.95,1,1)</calculatedColumnFormula>
    </tableColumn>
    <tableColumn id="5" xr3:uid="{16AC8CE1-A5B3-427F-BC2A-3AEB7CDE15F8}" name="Upper Confidence Bound(Confirmed Cases)" dataDxfId="2" totalsRowDxfId="1">
      <calculatedColumnFormula>C2+_xlfn.FORECAST.ETS.CONFINT(A2,$B$2:$B$189,$A$2:$A$189,0.95,1,1)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6-06-10T13:09:42.20" personId="{F83799E1-FFAF-43F2-9F49-2EA3D599DD00}" id="{624B2195-5A8E-44C7-8D10-53CD40494A63}">
    <text>(Total Deaths)/(Total Confirmed Cases) * 100</text>
  </threadedComment>
  <threadedComment ref="M3" dT="2026-06-11T18:40:31.60" personId="{F83799E1-FFAF-43F2-9F49-2EA3D599DD00}" id="{5F603283-F6D9-4914-A188-C4C6FA4400B2}">
    <text xml:space="preserve">15.13% of 654 = 98.9 which becomes 99 after roundup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6-10T12:16:02.78" personId="{F83799E1-FFAF-43F2-9F49-2EA3D599DD00}" id="{32EE5559-B475-4595-A770-13E1CEE21C39}">
    <text xml:space="preserve">This Pivot Table, titled “Monthly COVID‑19 Case Summary”, shows how the pandemic escalated rapidly: confirmed cases grew from tens of thousands in January to hundreds of millions by July, deaths and recoveries rose sharply alongside, and active cases remained extremely high, highlighting both the scale of spread and the immense ongoing burden on healthcare systems.
</text>
  </threadedComment>
  <threadedComment ref="H3" dT="2026-06-10T12:13:51.02" personId="{F83799E1-FFAF-43F2-9F49-2EA3D599DD00}" id="{AFB9DEC5-1EDD-4D22-A113-2543B17A4A39}">
    <text>By looking at “Sum of new Cases” month - over - month, you can instantly see when a peak started and when it began to subside.</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6-06-10T12:26:01.19" personId="{F83799E1-FFAF-43F2-9F49-2EA3D599DD00}" id="{391055A5-22FE-43B4-BD5B-AC8C5B816E23}">
    <text xml:space="preserve">It indicates rapid international transmission, which is a key metric for declaring a pandemic.
</text>
  </threadedComment>
  <threadedComment ref="G2" dT="2026-06-10T14:22:35.42" personId="{F83799E1-FFAF-43F2-9F49-2EA3D599DD00}" id="{65C1B896-0C7F-4CB8-BDCD-72D55A0C8373}">
    <text xml:space="preserve">-January shows very high severity (deaths far outweigh recoveries).
-Recovery rates steadily improve from March to July.
-Deaths per 100 Cases rise slowly but are overtaken by recoveries, showing better outcomes over time.
</text>
  </threadedComment>
  <threadedComment ref="A26" dT="2026-06-10T12:26:01.19" personId="{F83799E1-FFAF-43F2-9F49-2EA3D599DD00}" id="{449FBD52-1332-48B2-BA9D-4849CDBDA7D0}">
    <text xml:space="preserve">It indicates rapid international transmission, which is a key metric for declaring a pandemic.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pivotTable" Target="../pivotTables/pivotTable7.xml"/><Relationship Id="rId7" Type="http://schemas.openxmlformats.org/officeDocument/2006/relationships/comments" Target="../comments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vmlDrawing" Target="../drawings/vmlDrawing4.vml"/><Relationship Id="rId5" Type="http://schemas.openxmlformats.org/officeDocument/2006/relationships/drawing" Target="../drawings/drawing4.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comments" Target="../comments4.xml"/><Relationship Id="rId5" Type="http://schemas.openxmlformats.org/officeDocument/2006/relationships/vmlDrawing" Target="../drawings/vmlDrawing5.v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drawing" Target="../drawings/drawing8.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15EB-31BF-44A2-8A5A-9DA61FBD9E80}">
  <dimension ref="A1:V190"/>
  <sheetViews>
    <sheetView topLeftCell="A2" zoomScale="109" workbookViewId="0">
      <selection activeCell="G11" sqref="A2:P189"/>
    </sheetView>
  </sheetViews>
  <sheetFormatPr defaultRowHeight="14.5" x14ac:dyDescent="0.35"/>
  <cols>
    <col min="1" max="1" width="11" bestFit="1" customWidth="1"/>
    <col min="2" max="2" width="17.81640625" customWidth="1"/>
    <col min="3" max="3" width="13.54296875" customWidth="1"/>
    <col min="4" max="4" width="22.54296875" customWidth="1"/>
    <col min="5" max="5" width="15" bestFit="1" customWidth="1"/>
    <col min="6" max="6" width="12.08984375" customWidth="1"/>
    <col min="7" max="7" width="13" customWidth="1"/>
    <col min="8" max="8" width="16" customWidth="1"/>
    <col min="9" max="9" width="20.7265625" bestFit="1" customWidth="1"/>
    <col min="10" max="10" width="24.08984375" bestFit="1" customWidth="1"/>
    <col min="11" max="11" width="24.81640625" bestFit="1" customWidth="1"/>
    <col min="12" max="12" width="16.453125" customWidth="1"/>
    <col min="13" max="13" width="15.90625" customWidth="1"/>
    <col min="14" max="14" width="18.54296875" bestFit="1" customWidth="1"/>
    <col min="15" max="15" width="16.36328125" bestFit="1" customWidth="1"/>
    <col min="16" max="16" width="13.26953125" bestFit="1" customWidth="1"/>
    <col min="17" max="17" width="14.1796875" bestFit="1" customWidth="1"/>
    <col min="18" max="18" width="17.26953125" bestFit="1" customWidth="1"/>
    <col min="19" max="19" width="20.7265625" bestFit="1" customWidth="1"/>
    <col min="20" max="20" width="24.08984375" bestFit="1" customWidth="1"/>
    <col min="21" max="21" width="24.81640625" bestFit="1" customWidth="1"/>
    <col min="22" max="22" width="17.81640625" bestFit="1" customWidth="1"/>
    <col min="23" max="23" width="17.08984375" bestFit="1" customWidth="1"/>
    <col min="24" max="24" width="19.81640625" bestFit="1" customWidth="1"/>
    <col min="25" max="25" width="9.81640625" bestFit="1" customWidth="1"/>
    <col min="27" max="27" width="13.90625" bestFit="1" customWidth="1"/>
    <col min="28" max="28" width="17.08984375" bestFit="1" customWidth="1"/>
    <col min="29" max="29" width="16.08984375" bestFit="1" customWidth="1"/>
    <col min="30" max="30" width="11.7265625" bestFit="1" customWidth="1"/>
    <col min="31" max="31" width="20.90625" bestFit="1" customWidth="1"/>
    <col min="32" max="32" width="12" bestFit="1" customWidth="1"/>
    <col min="33" max="38" width="3.26953125" bestFit="1" customWidth="1"/>
    <col min="39" max="64" width="4.36328125" bestFit="1" customWidth="1"/>
    <col min="65" max="128" width="5.453125" bestFit="1" customWidth="1"/>
    <col min="129" max="264" width="6.54296875" bestFit="1" customWidth="1"/>
    <col min="265" max="460" width="7.6328125" bestFit="1" customWidth="1"/>
    <col min="461" max="747" width="8.7265625" bestFit="1" customWidth="1"/>
    <col min="748" max="777" width="9.81640625" bestFit="1" customWidth="1"/>
    <col min="778" max="778" width="10.90625" bestFit="1" customWidth="1"/>
  </cols>
  <sheetData>
    <row r="1" spans="1:22" s="2" customFormat="1" x14ac:dyDescent="0.35">
      <c r="A1" s="12" t="s">
        <v>0</v>
      </c>
      <c r="B1" s="13" t="s">
        <v>12</v>
      </c>
      <c r="C1" s="13" t="s">
        <v>13</v>
      </c>
      <c r="D1" s="13" t="s">
        <v>14</v>
      </c>
      <c r="E1" s="13" t="s">
        <v>15</v>
      </c>
      <c r="F1" s="13" t="s">
        <v>5</v>
      </c>
      <c r="G1" s="13" t="s">
        <v>6</v>
      </c>
      <c r="H1" s="13" t="s">
        <v>7</v>
      </c>
      <c r="I1" s="13" t="s">
        <v>8</v>
      </c>
      <c r="J1" s="13" t="s">
        <v>9</v>
      </c>
      <c r="K1" s="13" t="s">
        <v>63</v>
      </c>
      <c r="L1" s="13" t="s">
        <v>11</v>
      </c>
      <c r="M1" s="13" t="s">
        <v>16</v>
      </c>
      <c r="N1" s="13" t="s">
        <v>55</v>
      </c>
      <c r="O1" s="13" t="s">
        <v>56</v>
      </c>
      <c r="P1" s="13" t="s">
        <v>74</v>
      </c>
    </row>
    <row r="2" spans="1:22" ht="14.5" customHeight="1" x14ac:dyDescent="0.35">
      <c r="A2" s="1">
        <v>43852</v>
      </c>
      <c r="B2" s="4">
        <v>555</v>
      </c>
      <c r="C2" s="4">
        <v>17</v>
      </c>
      <c r="D2" s="4">
        <v>28</v>
      </c>
      <c r="E2" s="4">
        <v>510</v>
      </c>
      <c r="F2" s="3">
        <v>3</v>
      </c>
      <c r="G2" s="3">
        <v>3</v>
      </c>
      <c r="H2" s="3">
        <v>3</v>
      </c>
      <c r="I2" s="3">
        <v>3</v>
      </c>
      <c r="J2" s="3">
        <v>5</v>
      </c>
      <c r="K2" s="3">
        <v>61</v>
      </c>
      <c r="L2" s="3">
        <v>6</v>
      </c>
      <c r="M2" s="3">
        <v>0</v>
      </c>
      <c r="N2" s="23">
        <f>MAINTABLE[[#This Row],[Total Recovered Cases]]/MAINTABLE[[#This Row],[Confirmed Cases]]*100</f>
        <v>5.045045045045045</v>
      </c>
      <c r="O2" s="22">
        <f>MAINTABLE[[#This Row],[Total Deaths]]/MAINTABLE[[#This Row],[Confirmed Cases]]</f>
        <v>3.063063063063063E-2</v>
      </c>
      <c r="P2" s="22" t="str">
        <f>IF(MAINTABLE[[#This Row],[New cases]]&gt;$U$4,"YES","NO")</f>
        <v>NO</v>
      </c>
      <c r="T2" s="31" t="s">
        <v>67</v>
      </c>
      <c r="U2" s="31"/>
      <c r="V2" s="31"/>
    </row>
    <row r="3" spans="1:22" x14ac:dyDescent="0.35">
      <c r="A3" s="1">
        <v>43853</v>
      </c>
      <c r="B3" s="4">
        <v>654</v>
      </c>
      <c r="C3" s="4">
        <v>18</v>
      </c>
      <c r="D3" s="4">
        <v>30</v>
      </c>
      <c r="E3" s="4">
        <v>606</v>
      </c>
      <c r="F3" s="4">
        <v>99</v>
      </c>
      <c r="G3" s="4">
        <v>1</v>
      </c>
      <c r="H3" s="4">
        <v>2</v>
      </c>
      <c r="I3" s="4">
        <v>3</v>
      </c>
      <c r="J3" s="4">
        <v>5</v>
      </c>
      <c r="K3" s="4">
        <v>60</v>
      </c>
      <c r="L3" s="4">
        <v>8</v>
      </c>
      <c r="M3" s="4">
        <v>15.1376146788991</v>
      </c>
      <c r="N3" s="23">
        <f>MAINTABLE[[#This Row],[Total Recovered Cases]]/MAINTABLE[[#This Row],[Confirmed Cases]]*100</f>
        <v>4.5871559633027523</v>
      </c>
      <c r="O3" s="22">
        <f>MAINTABLE[[#This Row],[Total Deaths]]/MAINTABLE[[#This Row],[Confirmed Cases]]</f>
        <v>2.7522935779816515E-2</v>
      </c>
      <c r="P3" s="22" t="str">
        <f>IF(MAINTABLE[[#This Row],[New cases]]&gt;$U$4,"YES","NO")</f>
        <v>NO</v>
      </c>
      <c r="T3" s="31"/>
      <c r="U3" s="31"/>
      <c r="V3" s="31"/>
    </row>
    <row r="4" spans="1:22" x14ac:dyDescent="0.35">
      <c r="A4" s="1">
        <v>43854</v>
      </c>
      <c r="B4" s="3">
        <v>941</v>
      </c>
      <c r="C4" s="3">
        <v>26</v>
      </c>
      <c r="D4" s="3">
        <v>36</v>
      </c>
      <c r="E4" s="3">
        <v>879</v>
      </c>
      <c r="F4" s="3">
        <v>287</v>
      </c>
      <c r="G4" s="3">
        <v>8</v>
      </c>
      <c r="H4" s="3">
        <v>6</v>
      </c>
      <c r="I4" s="3">
        <v>3</v>
      </c>
      <c r="J4" s="3">
        <v>4</v>
      </c>
      <c r="K4" s="3">
        <v>72</v>
      </c>
      <c r="L4" s="3">
        <v>9</v>
      </c>
      <c r="M4" s="3">
        <v>30.499468650371998</v>
      </c>
      <c r="N4" s="23">
        <f>MAINTABLE[[#This Row],[Total Recovered Cases]]/MAINTABLE[[#This Row],[Confirmed Cases]]*100</f>
        <v>3.8257173219978751</v>
      </c>
      <c r="O4" s="22">
        <f>MAINTABLE[[#This Row],[Total Deaths]]/MAINTABLE[[#This Row],[Confirmed Cases]]</f>
        <v>2.763018065887354E-2</v>
      </c>
      <c r="P4" s="22" t="str">
        <f>IF(MAINTABLE[[#This Row],[New cases]]&gt;$U$4,"YES","NO")</f>
        <v>NO</v>
      </c>
      <c r="T4">
        <f>COUNTIF(MAINTABLE[Column1],"YES")</f>
        <v>19</v>
      </c>
      <c r="U4">
        <f>PERCENTILE(MAINTABLE[New cases],0.9)</f>
        <v>207056.1</v>
      </c>
    </row>
    <row r="5" spans="1:22" x14ac:dyDescent="0.35">
      <c r="A5" s="1">
        <v>43855</v>
      </c>
      <c r="B5" s="4">
        <v>1434</v>
      </c>
      <c r="C5" s="4">
        <v>42</v>
      </c>
      <c r="D5" s="4">
        <v>39</v>
      </c>
      <c r="E5" s="4">
        <v>1353</v>
      </c>
      <c r="F5" s="4">
        <v>493</v>
      </c>
      <c r="G5" s="4">
        <v>16</v>
      </c>
      <c r="H5" s="4">
        <v>3</v>
      </c>
      <c r="I5" s="4">
        <v>3</v>
      </c>
      <c r="J5" s="4">
        <v>3</v>
      </c>
      <c r="K5" s="4">
        <v>108</v>
      </c>
      <c r="L5" s="4">
        <v>11</v>
      </c>
      <c r="M5" s="4">
        <v>34.379358437935799</v>
      </c>
      <c r="N5" s="23">
        <f>MAINTABLE[[#This Row],[Total Recovered Cases]]/MAINTABLE[[#This Row],[Confirmed Cases]]*100</f>
        <v>2.7196652719665275</v>
      </c>
      <c r="O5" s="22">
        <f>MAINTABLE[[#This Row],[Total Deaths]]/MAINTABLE[[#This Row],[Confirmed Cases]]</f>
        <v>2.9288702928870293E-2</v>
      </c>
      <c r="P5" s="22" t="str">
        <f>IF(MAINTABLE[[#This Row],[New cases]]&gt;$U$4,"YES","NO")</f>
        <v>NO</v>
      </c>
    </row>
    <row r="6" spans="1:22" ht="14.5" customHeight="1" x14ac:dyDescent="0.35">
      <c r="A6" s="1">
        <v>43856</v>
      </c>
      <c r="B6" s="3">
        <v>2118</v>
      </c>
      <c r="C6" s="3">
        <v>56</v>
      </c>
      <c r="D6" s="3">
        <v>52</v>
      </c>
      <c r="E6" s="3">
        <v>2010</v>
      </c>
      <c r="F6" s="3">
        <v>684</v>
      </c>
      <c r="G6" s="3">
        <v>14</v>
      </c>
      <c r="H6" s="3">
        <v>13</v>
      </c>
      <c r="I6" s="3">
        <v>3</v>
      </c>
      <c r="J6" s="3">
        <v>2</v>
      </c>
      <c r="K6" s="3">
        <v>108</v>
      </c>
      <c r="L6" s="3">
        <v>13</v>
      </c>
      <c r="M6" s="3">
        <v>32.294617563739401</v>
      </c>
      <c r="N6" s="23">
        <f>MAINTABLE[[#This Row],[Total Recovered Cases]]/MAINTABLE[[#This Row],[Confirmed Cases]]*100</f>
        <v>2.4551463644948064</v>
      </c>
      <c r="O6" s="22">
        <f>MAINTABLE[[#This Row],[Total Deaths]]/MAINTABLE[[#This Row],[Confirmed Cases]]</f>
        <v>2.644003777148253E-2</v>
      </c>
      <c r="P6" s="22" t="str">
        <f>IF(MAINTABLE[[#This Row],[New cases]]&gt;$U$4,"YES","NO")</f>
        <v>NO</v>
      </c>
      <c r="T6" s="32" t="s">
        <v>68</v>
      </c>
      <c r="U6" s="32"/>
      <c r="V6" s="32"/>
    </row>
    <row r="7" spans="1:22" x14ac:dyDescent="0.35">
      <c r="A7" s="1">
        <v>43857</v>
      </c>
      <c r="B7" s="4">
        <v>2927</v>
      </c>
      <c r="C7" s="4">
        <v>82</v>
      </c>
      <c r="D7" s="4">
        <v>61</v>
      </c>
      <c r="E7" s="4">
        <v>2784</v>
      </c>
      <c r="F7" s="4">
        <v>809</v>
      </c>
      <c r="G7" s="4">
        <v>26</v>
      </c>
      <c r="H7" s="4">
        <v>9</v>
      </c>
      <c r="I7" s="4">
        <v>3</v>
      </c>
      <c r="J7" s="4">
        <v>2</v>
      </c>
      <c r="K7" s="4">
        <v>134</v>
      </c>
      <c r="L7" s="4">
        <v>16</v>
      </c>
      <c r="M7" s="4">
        <v>27.639221045439001</v>
      </c>
      <c r="N7" s="23">
        <f>MAINTABLE[[#This Row],[Total Recovered Cases]]/MAINTABLE[[#This Row],[Confirmed Cases]]*100</f>
        <v>2.0840450973693203</v>
      </c>
      <c r="O7" s="22">
        <f>MAINTABLE[[#This Row],[Total Deaths]]/MAINTABLE[[#This Row],[Confirmed Cases]]</f>
        <v>2.8015032456440041E-2</v>
      </c>
      <c r="P7" s="22" t="str">
        <f>IF(MAINTABLE[[#This Row],[New cases]]&gt;$U$4,"YES","NO")</f>
        <v>NO</v>
      </c>
      <c r="T7" s="32"/>
      <c r="U7" s="32"/>
      <c r="V7" s="32"/>
    </row>
    <row r="8" spans="1:22" x14ac:dyDescent="0.35">
      <c r="A8" s="1">
        <v>43858</v>
      </c>
      <c r="B8" s="3">
        <v>5578</v>
      </c>
      <c r="C8" s="3">
        <v>131</v>
      </c>
      <c r="D8" s="3">
        <v>107</v>
      </c>
      <c r="E8" s="3">
        <v>5340</v>
      </c>
      <c r="F8" s="3">
        <v>2651</v>
      </c>
      <c r="G8" s="3">
        <v>49</v>
      </c>
      <c r="H8" s="3">
        <v>46</v>
      </c>
      <c r="I8" s="3">
        <v>2</v>
      </c>
      <c r="J8" s="3">
        <v>2</v>
      </c>
      <c r="K8" s="3">
        <v>122</v>
      </c>
      <c r="L8" s="3">
        <v>16</v>
      </c>
      <c r="M8" s="3">
        <v>47.525994980279698</v>
      </c>
      <c r="N8" s="23">
        <f>MAINTABLE[[#This Row],[Total Recovered Cases]]/MAINTABLE[[#This Row],[Confirmed Cases]]*100</f>
        <v>1.9182502689135892</v>
      </c>
      <c r="O8" s="22">
        <f>MAINTABLE[[#This Row],[Total Deaths]]/MAINTABLE[[#This Row],[Confirmed Cases]]</f>
        <v>2.3485120114736465E-2</v>
      </c>
      <c r="P8" s="22" t="str">
        <f>IF(MAINTABLE[[#This Row],[New cases]]&gt;$U$4,"YES","NO")</f>
        <v>NO</v>
      </c>
      <c r="U8" s="8">
        <f>CORREL(MAINTABLE[New cases],MAINTABLE[New deaths])</f>
        <v>0.72184433827532557</v>
      </c>
    </row>
    <row r="9" spans="1:22" x14ac:dyDescent="0.35">
      <c r="A9" s="1">
        <v>43859</v>
      </c>
      <c r="B9" s="4">
        <v>6166</v>
      </c>
      <c r="C9" s="4">
        <v>133</v>
      </c>
      <c r="D9" s="4">
        <v>125</v>
      </c>
      <c r="E9" s="4">
        <v>5908</v>
      </c>
      <c r="F9" s="4">
        <v>588</v>
      </c>
      <c r="G9" s="4">
        <v>2</v>
      </c>
      <c r="H9" s="4">
        <v>18</v>
      </c>
      <c r="I9" s="4">
        <v>2</v>
      </c>
      <c r="J9" s="4">
        <v>2</v>
      </c>
      <c r="K9" s="4">
        <v>106</v>
      </c>
      <c r="L9" s="4">
        <v>18</v>
      </c>
      <c r="M9" s="4">
        <v>9.5361660720077808</v>
      </c>
      <c r="N9" s="23">
        <f>MAINTABLE[[#This Row],[Total Recovered Cases]]/MAINTABLE[[#This Row],[Confirmed Cases]]*100</f>
        <v>2.0272461887771649</v>
      </c>
      <c r="O9" s="22">
        <f>MAINTABLE[[#This Row],[Total Deaths]]/MAINTABLE[[#This Row],[Confirmed Cases]]</f>
        <v>2.1569899448589037E-2</v>
      </c>
      <c r="P9" s="22" t="str">
        <f>IF(MAINTABLE[[#This Row],[New cases]]&gt;$U$4,"YES","NO")</f>
        <v>NO</v>
      </c>
    </row>
    <row r="10" spans="1:22" x14ac:dyDescent="0.35">
      <c r="A10" s="1">
        <v>43860</v>
      </c>
      <c r="B10" s="3">
        <v>8234</v>
      </c>
      <c r="C10" s="3">
        <v>171</v>
      </c>
      <c r="D10" s="3">
        <v>141</v>
      </c>
      <c r="E10" s="3">
        <v>7922</v>
      </c>
      <c r="F10" s="3">
        <v>2068</v>
      </c>
      <c r="G10" s="3">
        <v>38</v>
      </c>
      <c r="H10" s="3">
        <v>16</v>
      </c>
      <c r="I10" s="3">
        <v>2</v>
      </c>
      <c r="J10" s="3">
        <v>2</v>
      </c>
      <c r="K10" s="3">
        <v>121</v>
      </c>
      <c r="L10" s="3">
        <v>20</v>
      </c>
      <c r="M10" s="3">
        <v>25.1153752732572</v>
      </c>
      <c r="N10" s="23">
        <f>MAINTABLE[[#This Row],[Total Recovered Cases]]/MAINTABLE[[#This Row],[Confirmed Cases]]*100</f>
        <v>1.7124119504493562</v>
      </c>
      <c r="O10" s="22">
        <f>MAINTABLE[[#This Row],[Total Deaths]]/MAINTABLE[[#This Row],[Confirmed Cases]]</f>
        <v>2.0767549186300704E-2</v>
      </c>
      <c r="P10" s="22" t="str">
        <f>IF(MAINTABLE[[#This Row],[New cases]]&gt;$U$4,"YES","NO")</f>
        <v>NO</v>
      </c>
    </row>
    <row r="11" spans="1:22" x14ac:dyDescent="0.35">
      <c r="A11" s="1">
        <v>43861</v>
      </c>
      <c r="B11" s="4">
        <v>9927</v>
      </c>
      <c r="C11" s="4">
        <v>213</v>
      </c>
      <c r="D11" s="4">
        <v>219</v>
      </c>
      <c r="E11" s="4">
        <v>9495</v>
      </c>
      <c r="F11" s="4">
        <v>1693</v>
      </c>
      <c r="G11" s="4">
        <v>42</v>
      </c>
      <c r="H11" s="4">
        <v>78</v>
      </c>
      <c r="I11" s="4">
        <v>2</v>
      </c>
      <c r="J11" s="4">
        <v>2</v>
      </c>
      <c r="K11" s="4">
        <v>97</v>
      </c>
      <c r="L11" s="4">
        <v>24</v>
      </c>
      <c r="M11" s="4">
        <v>17.054497834189601</v>
      </c>
      <c r="N11" s="23">
        <f>MAINTABLE[[#This Row],[Total Recovered Cases]]/MAINTABLE[[#This Row],[Confirmed Cases]]*100</f>
        <v>2.206104563312179</v>
      </c>
      <c r="O11" s="22">
        <f>MAINTABLE[[#This Row],[Total Deaths]]/MAINTABLE[[#This Row],[Confirmed Cases]]</f>
        <v>2.1456633423995165E-2</v>
      </c>
      <c r="P11" s="22" t="str">
        <f>IF(MAINTABLE[[#This Row],[New cases]]&gt;$U$4,"YES","NO")</f>
        <v>NO</v>
      </c>
    </row>
    <row r="12" spans="1:22" x14ac:dyDescent="0.35">
      <c r="A12" s="1">
        <v>43862</v>
      </c>
      <c r="B12" s="3">
        <v>12038</v>
      </c>
      <c r="C12" s="3">
        <v>259</v>
      </c>
      <c r="D12" s="3">
        <v>281</v>
      </c>
      <c r="E12" s="3">
        <v>11498</v>
      </c>
      <c r="F12" s="3">
        <v>2111</v>
      </c>
      <c r="G12" s="3">
        <v>46</v>
      </c>
      <c r="H12" s="3">
        <v>62</v>
      </c>
      <c r="I12" s="3">
        <v>2</v>
      </c>
      <c r="J12" s="3">
        <v>2</v>
      </c>
      <c r="K12" s="3">
        <v>92</v>
      </c>
      <c r="L12" s="3">
        <v>25</v>
      </c>
      <c r="M12" s="3">
        <v>17.536135570692799</v>
      </c>
      <c r="N12" s="23">
        <f>MAINTABLE[[#This Row],[Total Recovered Cases]]/MAINTABLE[[#This Row],[Confirmed Cases]]*100</f>
        <v>2.3342747964778203</v>
      </c>
      <c r="O12" s="22">
        <f>MAINTABLE[[#This Row],[Total Deaths]]/MAINTABLE[[#This Row],[Confirmed Cases]]</f>
        <v>2.1515201860774213E-2</v>
      </c>
      <c r="P12" s="22" t="str">
        <f>IF(MAINTABLE[[#This Row],[New cases]]&gt;$U$4,"YES","NO")</f>
        <v>NO</v>
      </c>
    </row>
    <row r="13" spans="1:22" x14ac:dyDescent="0.35">
      <c r="A13" s="1">
        <v>43863</v>
      </c>
      <c r="B13" s="4">
        <v>16787</v>
      </c>
      <c r="C13" s="4">
        <v>362</v>
      </c>
      <c r="D13" s="4">
        <v>459</v>
      </c>
      <c r="E13" s="4">
        <v>15966</v>
      </c>
      <c r="F13" s="4">
        <v>4749</v>
      </c>
      <c r="G13" s="4">
        <v>103</v>
      </c>
      <c r="H13" s="4">
        <v>178</v>
      </c>
      <c r="I13" s="4">
        <v>2</v>
      </c>
      <c r="J13" s="4">
        <v>3</v>
      </c>
      <c r="K13" s="4">
        <v>79</v>
      </c>
      <c r="L13" s="4">
        <v>25</v>
      </c>
      <c r="M13" s="4">
        <v>28.2897480193006</v>
      </c>
      <c r="N13" s="23">
        <f>MAINTABLE[[#This Row],[Total Recovered Cases]]/MAINTABLE[[#This Row],[Confirmed Cases]]*100</f>
        <v>2.7342586525287422</v>
      </c>
      <c r="O13" s="22">
        <f>MAINTABLE[[#This Row],[Total Deaths]]/MAINTABLE[[#This Row],[Confirmed Cases]]</f>
        <v>2.1564305712753917E-2</v>
      </c>
      <c r="P13" s="22" t="str">
        <f>IF(MAINTABLE[[#This Row],[New cases]]&gt;$U$4,"YES","NO")</f>
        <v>NO</v>
      </c>
    </row>
    <row r="14" spans="1:22" x14ac:dyDescent="0.35">
      <c r="A14" s="1">
        <v>43864</v>
      </c>
      <c r="B14" s="3">
        <v>19887</v>
      </c>
      <c r="C14" s="3">
        <v>426</v>
      </c>
      <c r="D14" s="3">
        <v>604</v>
      </c>
      <c r="E14" s="3">
        <v>18857</v>
      </c>
      <c r="F14" s="3">
        <v>3100</v>
      </c>
      <c r="G14" s="3">
        <v>64</v>
      </c>
      <c r="H14" s="3">
        <v>145</v>
      </c>
      <c r="I14" s="3">
        <v>2</v>
      </c>
      <c r="J14" s="3">
        <v>3</v>
      </c>
      <c r="K14" s="3">
        <v>71</v>
      </c>
      <c r="L14" s="3">
        <v>25</v>
      </c>
      <c r="M14" s="3">
        <v>15.588072610247901</v>
      </c>
      <c r="N14" s="23">
        <f>MAINTABLE[[#This Row],[Total Recovered Cases]]/MAINTABLE[[#This Row],[Confirmed Cases]]*100</f>
        <v>3.0371599537386231</v>
      </c>
      <c r="O14" s="22">
        <f>MAINTABLE[[#This Row],[Total Deaths]]/MAINTABLE[[#This Row],[Confirmed Cases]]</f>
        <v>2.1421028812792276E-2</v>
      </c>
      <c r="P14" s="22" t="str">
        <f>IF(MAINTABLE[[#This Row],[New cases]]&gt;$U$4,"YES","NO")</f>
        <v>NO</v>
      </c>
    </row>
    <row r="15" spans="1:22" x14ac:dyDescent="0.35">
      <c r="A15" s="1">
        <v>43865</v>
      </c>
      <c r="B15" s="4">
        <v>23898</v>
      </c>
      <c r="C15" s="4">
        <v>492</v>
      </c>
      <c r="D15" s="4">
        <v>821</v>
      </c>
      <c r="E15" s="4">
        <v>22585</v>
      </c>
      <c r="F15" s="4">
        <v>4011</v>
      </c>
      <c r="G15" s="4">
        <v>66</v>
      </c>
      <c r="H15" s="4">
        <v>217</v>
      </c>
      <c r="I15" s="4">
        <v>2</v>
      </c>
      <c r="J15" s="4">
        <v>3</v>
      </c>
      <c r="K15" s="4">
        <v>60</v>
      </c>
      <c r="L15" s="4">
        <v>26</v>
      </c>
      <c r="M15" s="4">
        <v>16.783831282952502</v>
      </c>
      <c r="N15" s="23">
        <f>MAINTABLE[[#This Row],[Total Recovered Cases]]/MAINTABLE[[#This Row],[Confirmed Cases]]*100</f>
        <v>3.4354339275253158</v>
      </c>
      <c r="O15" s="22">
        <f>MAINTABLE[[#This Row],[Total Deaths]]/MAINTABLE[[#This Row],[Confirmed Cases]]</f>
        <v>2.0587496861662065E-2</v>
      </c>
      <c r="P15" s="22" t="str">
        <f>IF(MAINTABLE[[#This Row],[New cases]]&gt;$U$4,"YES","NO")</f>
        <v>NO</v>
      </c>
    </row>
    <row r="16" spans="1:22" x14ac:dyDescent="0.35">
      <c r="A16" s="1">
        <v>43866</v>
      </c>
      <c r="B16" s="3">
        <v>27643</v>
      </c>
      <c r="C16" s="3">
        <v>564</v>
      </c>
      <c r="D16" s="3">
        <v>1071</v>
      </c>
      <c r="E16" s="3">
        <v>26008</v>
      </c>
      <c r="F16" s="3">
        <v>3745</v>
      </c>
      <c r="G16" s="3">
        <v>72</v>
      </c>
      <c r="H16" s="3">
        <v>250</v>
      </c>
      <c r="I16" s="3">
        <v>2</v>
      </c>
      <c r="J16" s="3">
        <v>4</v>
      </c>
      <c r="K16" s="3">
        <v>53</v>
      </c>
      <c r="L16" s="3">
        <v>26</v>
      </c>
      <c r="M16" s="3">
        <v>13.5477336034439</v>
      </c>
      <c r="N16" s="23">
        <f>MAINTABLE[[#This Row],[Total Recovered Cases]]/MAINTABLE[[#This Row],[Confirmed Cases]]*100</f>
        <v>3.8743985819194733</v>
      </c>
      <c r="O16" s="22">
        <f>MAINTABLE[[#This Row],[Total Deaths]]/MAINTABLE[[#This Row],[Confirmed Cases]]</f>
        <v>2.0402995333357449E-2</v>
      </c>
      <c r="P16" s="22" t="str">
        <f>IF(MAINTABLE[[#This Row],[New cases]]&gt;$U$4,"YES","NO")</f>
        <v>NO</v>
      </c>
    </row>
    <row r="17" spans="1:16" x14ac:dyDescent="0.35">
      <c r="A17" s="1">
        <v>43867</v>
      </c>
      <c r="B17" s="4">
        <v>30802</v>
      </c>
      <c r="C17" s="4">
        <v>634</v>
      </c>
      <c r="D17" s="4">
        <v>1418</v>
      </c>
      <c r="E17" s="4">
        <v>28750</v>
      </c>
      <c r="F17" s="4">
        <v>3159</v>
      </c>
      <c r="G17" s="4">
        <v>70</v>
      </c>
      <c r="H17" s="4">
        <v>347</v>
      </c>
      <c r="I17" s="4">
        <v>2</v>
      </c>
      <c r="J17" s="4">
        <v>5</v>
      </c>
      <c r="K17" s="4">
        <v>45</v>
      </c>
      <c r="L17" s="4">
        <v>26</v>
      </c>
      <c r="M17" s="4">
        <v>10.255827543665999</v>
      </c>
      <c r="N17" s="23">
        <f>MAINTABLE[[#This Row],[Total Recovered Cases]]/MAINTABLE[[#This Row],[Confirmed Cases]]*100</f>
        <v>4.603597169014999</v>
      </c>
      <c r="O17" s="22">
        <f>MAINTABLE[[#This Row],[Total Deaths]]/MAINTABLE[[#This Row],[Confirmed Cases]]</f>
        <v>2.0583079020842804E-2</v>
      </c>
      <c r="P17" s="22" t="str">
        <f>IF(MAINTABLE[[#This Row],[New cases]]&gt;$U$4,"YES","NO")</f>
        <v>NO</v>
      </c>
    </row>
    <row r="18" spans="1:16" x14ac:dyDescent="0.35">
      <c r="A18" s="1">
        <v>43868</v>
      </c>
      <c r="B18" s="3">
        <v>34334</v>
      </c>
      <c r="C18" s="3">
        <v>719</v>
      </c>
      <c r="D18" s="3">
        <v>1903</v>
      </c>
      <c r="E18" s="3">
        <v>31712</v>
      </c>
      <c r="F18" s="3">
        <v>3532</v>
      </c>
      <c r="G18" s="3">
        <v>85</v>
      </c>
      <c r="H18" s="3">
        <v>485</v>
      </c>
      <c r="I18" s="3">
        <v>2</v>
      </c>
      <c r="J18" s="3">
        <v>6</v>
      </c>
      <c r="K18" s="3">
        <v>38</v>
      </c>
      <c r="L18" s="3">
        <v>26</v>
      </c>
      <c r="M18" s="3">
        <v>10.287178889730299</v>
      </c>
      <c r="N18" s="23">
        <f>MAINTABLE[[#This Row],[Total Recovered Cases]]/MAINTABLE[[#This Row],[Confirmed Cases]]*100</f>
        <v>5.5426108230908131</v>
      </c>
      <c r="O18" s="22">
        <f>MAINTABLE[[#This Row],[Total Deaths]]/MAINTABLE[[#This Row],[Confirmed Cases]]</f>
        <v>2.0941340944836021E-2</v>
      </c>
      <c r="P18" s="22" t="str">
        <f>IF(MAINTABLE[[#This Row],[New cases]]&gt;$U$4,"YES","NO")</f>
        <v>NO</v>
      </c>
    </row>
    <row r="19" spans="1:16" x14ac:dyDescent="0.35">
      <c r="A19" s="1">
        <v>43869</v>
      </c>
      <c r="B19" s="4">
        <v>37068</v>
      </c>
      <c r="C19" s="4">
        <v>806</v>
      </c>
      <c r="D19" s="4">
        <v>2470</v>
      </c>
      <c r="E19" s="4">
        <v>33792</v>
      </c>
      <c r="F19" s="4">
        <v>2734</v>
      </c>
      <c r="G19" s="4">
        <v>87</v>
      </c>
      <c r="H19" s="4">
        <v>567</v>
      </c>
      <c r="I19" s="4">
        <v>2</v>
      </c>
      <c r="J19" s="4">
        <v>7</v>
      </c>
      <c r="K19" s="4">
        <v>33</v>
      </c>
      <c r="L19" s="4">
        <v>26</v>
      </c>
      <c r="M19" s="4">
        <v>7.37563397000108</v>
      </c>
      <c r="N19" s="23">
        <f>MAINTABLE[[#This Row],[Total Recovered Cases]]/MAINTABLE[[#This Row],[Confirmed Cases]]*100</f>
        <v>6.6634293730441359</v>
      </c>
      <c r="O19" s="22">
        <f>MAINTABLE[[#This Row],[Total Deaths]]/MAINTABLE[[#This Row],[Confirmed Cases]]</f>
        <v>2.1743822164670336E-2</v>
      </c>
      <c r="P19" s="22" t="str">
        <f>IF(MAINTABLE[[#This Row],[New cases]]&gt;$U$4,"YES","NO")</f>
        <v>NO</v>
      </c>
    </row>
    <row r="20" spans="1:16" x14ac:dyDescent="0.35">
      <c r="A20" s="1">
        <v>43870</v>
      </c>
      <c r="B20" s="3">
        <v>40095</v>
      </c>
      <c r="C20" s="3">
        <v>906</v>
      </c>
      <c r="D20" s="3">
        <v>3057</v>
      </c>
      <c r="E20" s="3">
        <v>36132</v>
      </c>
      <c r="F20" s="3">
        <v>3027</v>
      </c>
      <c r="G20" s="3">
        <v>100</v>
      </c>
      <c r="H20" s="3">
        <v>587</v>
      </c>
      <c r="I20" s="3">
        <v>2</v>
      </c>
      <c r="J20" s="3">
        <v>8</v>
      </c>
      <c r="K20" s="3">
        <v>30</v>
      </c>
      <c r="L20" s="3">
        <v>26</v>
      </c>
      <c r="M20" s="3">
        <v>7.5495697717920001</v>
      </c>
      <c r="N20" s="23">
        <f>MAINTABLE[[#This Row],[Total Recovered Cases]]/MAINTABLE[[#This Row],[Confirmed Cases]]*100</f>
        <v>7.6243920688365137</v>
      </c>
      <c r="O20" s="22">
        <f>MAINTABLE[[#This Row],[Total Deaths]]/MAINTABLE[[#This Row],[Confirmed Cases]]</f>
        <v>2.2596333707444818E-2</v>
      </c>
      <c r="P20" s="22" t="str">
        <f>IF(MAINTABLE[[#This Row],[New cases]]&gt;$U$4,"YES","NO")</f>
        <v>NO</v>
      </c>
    </row>
    <row r="21" spans="1:16" x14ac:dyDescent="0.35">
      <c r="A21" s="1">
        <v>43871</v>
      </c>
      <c r="B21" s="4">
        <v>42633</v>
      </c>
      <c r="C21" s="4">
        <v>1013</v>
      </c>
      <c r="D21" s="4">
        <v>3714</v>
      </c>
      <c r="E21" s="4">
        <v>37906</v>
      </c>
      <c r="F21" s="4">
        <v>2538</v>
      </c>
      <c r="G21" s="4">
        <v>107</v>
      </c>
      <c r="H21" s="4">
        <v>657</v>
      </c>
      <c r="I21" s="4">
        <v>2</v>
      </c>
      <c r="J21" s="4">
        <v>9</v>
      </c>
      <c r="K21" s="4">
        <v>27</v>
      </c>
      <c r="L21" s="4">
        <v>26</v>
      </c>
      <c r="M21" s="4">
        <v>5.9531348955034797</v>
      </c>
      <c r="N21" s="23">
        <f>MAINTABLE[[#This Row],[Total Recovered Cases]]/MAINTABLE[[#This Row],[Confirmed Cases]]*100</f>
        <v>8.7115614664696359</v>
      </c>
      <c r="O21" s="22">
        <f>MAINTABLE[[#This Row],[Total Deaths]]/MAINTABLE[[#This Row],[Confirmed Cases]]</f>
        <v>2.37609363638496E-2</v>
      </c>
      <c r="P21" s="22" t="str">
        <f>IF(MAINTABLE[[#This Row],[New cases]]&gt;$U$4,"YES","NO")</f>
        <v>NO</v>
      </c>
    </row>
    <row r="22" spans="1:16" x14ac:dyDescent="0.35">
      <c r="A22" s="1">
        <v>43872</v>
      </c>
      <c r="B22" s="3">
        <v>44675</v>
      </c>
      <c r="C22" s="3">
        <v>1113</v>
      </c>
      <c r="D22" s="3">
        <v>4417</v>
      </c>
      <c r="E22" s="3">
        <v>39145</v>
      </c>
      <c r="F22" s="3">
        <v>2042</v>
      </c>
      <c r="G22" s="3">
        <v>100</v>
      </c>
      <c r="H22" s="3">
        <v>703</v>
      </c>
      <c r="I22" s="3">
        <v>2</v>
      </c>
      <c r="J22" s="3">
        <v>10</v>
      </c>
      <c r="K22" s="3">
        <v>25</v>
      </c>
      <c r="L22" s="3">
        <v>26</v>
      </c>
      <c r="M22" s="3">
        <v>4.5707890318970401</v>
      </c>
      <c r="N22" s="23">
        <f>MAINTABLE[[#This Row],[Total Recovered Cases]]/MAINTABLE[[#This Row],[Confirmed Cases]]*100</f>
        <v>9.8869613878007829</v>
      </c>
      <c r="O22" s="22">
        <f>MAINTABLE[[#This Row],[Total Deaths]]/MAINTABLE[[#This Row],[Confirmed Cases]]</f>
        <v>2.4913262451035256E-2</v>
      </c>
      <c r="P22" s="22" t="str">
        <f>IF(MAINTABLE[[#This Row],[New cases]]&gt;$U$4,"YES","NO")</f>
        <v>NO</v>
      </c>
    </row>
    <row r="23" spans="1:16" x14ac:dyDescent="0.35">
      <c r="A23" s="1">
        <v>43873</v>
      </c>
      <c r="B23" s="4">
        <v>46561</v>
      </c>
      <c r="C23" s="4">
        <v>1118</v>
      </c>
      <c r="D23" s="4">
        <v>4849</v>
      </c>
      <c r="E23" s="4">
        <v>40594</v>
      </c>
      <c r="F23" s="4">
        <v>1886</v>
      </c>
      <c r="G23" s="4">
        <v>5</v>
      </c>
      <c r="H23" s="4">
        <v>432</v>
      </c>
      <c r="I23" s="4">
        <v>2</v>
      </c>
      <c r="J23" s="4">
        <v>10</v>
      </c>
      <c r="K23" s="4">
        <v>23</v>
      </c>
      <c r="L23" s="4">
        <v>26</v>
      </c>
      <c r="M23" s="4">
        <v>4.0506002877945102</v>
      </c>
      <c r="N23" s="23">
        <f>MAINTABLE[[#This Row],[Total Recovered Cases]]/MAINTABLE[[#This Row],[Confirmed Cases]]*100</f>
        <v>10.414295225618005</v>
      </c>
      <c r="O23" s="22">
        <f>MAINTABLE[[#This Row],[Total Deaths]]/MAINTABLE[[#This Row],[Confirmed Cases]]</f>
        <v>2.401151178024527E-2</v>
      </c>
      <c r="P23" s="22" t="str">
        <f>IF(MAINTABLE[[#This Row],[New cases]]&gt;$U$4,"YES","NO")</f>
        <v>NO</v>
      </c>
    </row>
    <row r="24" spans="1:16" x14ac:dyDescent="0.35">
      <c r="A24" s="1">
        <v>43874</v>
      </c>
      <c r="B24" s="3">
        <v>60206</v>
      </c>
      <c r="C24" s="3">
        <v>1371</v>
      </c>
      <c r="D24" s="3">
        <v>5930</v>
      </c>
      <c r="E24" s="3">
        <v>52905</v>
      </c>
      <c r="F24" s="3">
        <v>13645</v>
      </c>
      <c r="G24" s="3">
        <v>253</v>
      </c>
      <c r="H24" s="3">
        <v>1081</v>
      </c>
      <c r="I24" s="3">
        <v>2</v>
      </c>
      <c r="J24" s="3">
        <v>10</v>
      </c>
      <c r="K24" s="3">
        <v>23</v>
      </c>
      <c r="L24" s="3">
        <v>26</v>
      </c>
      <c r="M24" s="3">
        <v>22.663854100920201</v>
      </c>
      <c r="N24" s="23">
        <f>MAINTABLE[[#This Row],[Total Recovered Cases]]/MAINTABLE[[#This Row],[Confirmed Cases]]*100</f>
        <v>9.8495166594691561</v>
      </c>
      <c r="O24" s="22">
        <f>MAINTABLE[[#This Row],[Total Deaths]]/MAINTABLE[[#This Row],[Confirmed Cases]]</f>
        <v>2.2771816762448924E-2</v>
      </c>
      <c r="P24" s="22" t="str">
        <f>IF(MAINTABLE[[#This Row],[New cases]]&gt;$U$4,"YES","NO")</f>
        <v>NO</v>
      </c>
    </row>
    <row r="25" spans="1:16" x14ac:dyDescent="0.35">
      <c r="A25" s="1">
        <v>43875</v>
      </c>
      <c r="B25" s="4">
        <v>66690</v>
      </c>
      <c r="C25" s="4">
        <v>1523</v>
      </c>
      <c r="D25" s="4">
        <v>7613</v>
      </c>
      <c r="E25" s="4">
        <v>57554</v>
      </c>
      <c r="F25" s="4">
        <v>6484</v>
      </c>
      <c r="G25" s="4">
        <v>152</v>
      </c>
      <c r="H25" s="4">
        <v>1683</v>
      </c>
      <c r="I25" s="4">
        <v>2</v>
      </c>
      <c r="J25" s="4">
        <v>11</v>
      </c>
      <c r="K25" s="4">
        <v>20</v>
      </c>
      <c r="L25" s="4">
        <v>27</v>
      </c>
      <c r="M25" s="4">
        <v>9.7225970910181392</v>
      </c>
      <c r="N25" s="23">
        <f>MAINTABLE[[#This Row],[Total Recovered Cases]]/MAINTABLE[[#This Row],[Confirmed Cases]]*100</f>
        <v>11.415504573399311</v>
      </c>
      <c r="O25" s="22">
        <f>MAINTABLE[[#This Row],[Total Deaths]]/MAINTABLE[[#This Row],[Confirmed Cases]]</f>
        <v>2.2837007047533362E-2</v>
      </c>
      <c r="P25" s="22" t="str">
        <f>IF(MAINTABLE[[#This Row],[New cases]]&gt;$U$4,"YES","NO")</f>
        <v>NO</v>
      </c>
    </row>
    <row r="26" spans="1:16" x14ac:dyDescent="0.35">
      <c r="A26" s="1">
        <v>43876</v>
      </c>
      <c r="B26" s="3">
        <v>68765</v>
      </c>
      <c r="C26" s="3">
        <v>1666</v>
      </c>
      <c r="D26" s="3">
        <v>8902</v>
      </c>
      <c r="E26" s="3">
        <v>58197</v>
      </c>
      <c r="F26" s="3">
        <v>2075</v>
      </c>
      <c r="G26" s="3">
        <v>143</v>
      </c>
      <c r="H26" s="3">
        <v>1289</v>
      </c>
      <c r="I26" s="3">
        <v>2</v>
      </c>
      <c r="J26" s="3">
        <v>13</v>
      </c>
      <c r="K26" s="3">
        <v>19</v>
      </c>
      <c r="L26" s="3">
        <v>27</v>
      </c>
      <c r="M26" s="3">
        <v>3.0175234494292198</v>
      </c>
      <c r="N26" s="23">
        <f>MAINTABLE[[#This Row],[Total Recovered Cases]]/MAINTABLE[[#This Row],[Confirmed Cases]]*100</f>
        <v>12.945539155093433</v>
      </c>
      <c r="O26" s="22">
        <f>MAINTABLE[[#This Row],[Total Deaths]]/MAINTABLE[[#This Row],[Confirmed Cases]]</f>
        <v>2.42274412855377E-2</v>
      </c>
      <c r="P26" s="22" t="str">
        <f>IF(MAINTABLE[[#This Row],[New cases]]&gt;$U$4,"YES","NO")</f>
        <v>NO</v>
      </c>
    </row>
    <row r="27" spans="1:16" x14ac:dyDescent="0.35">
      <c r="A27" s="1">
        <v>43877</v>
      </c>
      <c r="B27" s="4">
        <v>70879</v>
      </c>
      <c r="C27" s="4">
        <v>1770</v>
      </c>
      <c r="D27" s="4">
        <v>10319</v>
      </c>
      <c r="E27" s="4">
        <v>58790</v>
      </c>
      <c r="F27" s="4">
        <v>2114</v>
      </c>
      <c r="G27" s="4">
        <v>104</v>
      </c>
      <c r="H27" s="4">
        <v>1417</v>
      </c>
      <c r="I27" s="4">
        <v>2</v>
      </c>
      <c r="J27" s="4">
        <v>15</v>
      </c>
      <c r="K27" s="4">
        <v>17</v>
      </c>
      <c r="L27" s="4">
        <v>27</v>
      </c>
      <c r="M27" s="4">
        <v>2.9825477221744099</v>
      </c>
      <c r="N27" s="23">
        <f>MAINTABLE[[#This Row],[Total Recovered Cases]]/MAINTABLE[[#This Row],[Confirmed Cases]]*100</f>
        <v>14.558613975930811</v>
      </c>
      <c r="O27" s="22">
        <f>MAINTABLE[[#This Row],[Total Deaths]]/MAINTABLE[[#This Row],[Confirmed Cases]]</f>
        <v>2.4972135611394067E-2</v>
      </c>
      <c r="P27" s="22" t="str">
        <f>IF(MAINTABLE[[#This Row],[New cases]]&gt;$U$4,"YES","NO")</f>
        <v>NO</v>
      </c>
    </row>
    <row r="28" spans="1:16" x14ac:dyDescent="0.35">
      <c r="A28" s="1">
        <v>43878</v>
      </c>
      <c r="B28" s="3">
        <v>72815</v>
      </c>
      <c r="C28" s="3">
        <v>1868</v>
      </c>
      <c r="D28" s="3">
        <v>11951</v>
      </c>
      <c r="E28" s="3">
        <v>58996</v>
      </c>
      <c r="F28" s="3">
        <v>1936</v>
      </c>
      <c r="G28" s="3">
        <v>98</v>
      </c>
      <c r="H28" s="3">
        <v>1632</v>
      </c>
      <c r="I28" s="3">
        <v>3</v>
      </c>
      <c r="J28" s="3">
        <v>16</v>
      </c>
      <c r="K28" s="3">
        <v>16</v>
      </c>
      <c r="L28" s="3">
        <v>27</v>
      </c>
      <c r="M28" s="3">
        <v>2.65879283114743</v>
      </c>
      <c r="N28" s="23">
        <f>MAINTABLE[[#This Row],[Total Recovered Cases]]/MAINTABLE[[#This Row],[Confirmed Cases]]*100</f>
        <v>16.412827027398201</v>
      </c>
      <c r="O28" s="22">
        <f>MAINTABLE[[#This Row],[Total Deaths]]/MAINTABLE[[#This Row],[Confirmed Cases]]</f>
        <v>2.5654054796401839E-2</v>
      </c>
      <c r="P28" s="22" t="str">
        <f>IF(MAINTABLE[[#This Row],[New cases]]&gt;$U$4,"YES","NO")</f>
        <v>NO</v>
      </c>
    </row>
    <row r="29" spans="1:16" x14ac:dyDescent="0.35">
      <c r="A29" s="1">
        <v>43879</v>
      </c>
      <c r="B29" s="4">
        <v>74609</v>
      </c>
      <c r="C29" s="4">
        <v>2008</v>
      </c>
      <c r="D29" s="4">
        <v>13693</v>
      </c>
      <c r="E29" s="4">
        <v>58908</v>
      </c>
      <c r="F29" s="4">
        <v>1794</v>
      </c>
      <c r="G29" s="4">
        <v>140</v>
      </c>
      <c r="H29" s="4">
        <v>1742</v>
      </c>
      <c r="I29" s="4">
        <v>3</v>
      </c>
      <c r="J29" s="4">
        <v>18</v>
      </c>
      <c r="K29" s="4">
        <v>15</v>
      </c>
      <c r="L29" s="4">
        <v>27</v>
      </c>
      <c r="M29" s="4">
        <v>2.4045356458336098</v>
      </c>
      <c r="N29" s="23">
        <f>MAINTABLE[[#This Row],[Total Recovered Cases]]/MAINTABLE[[#This Row],[Confirmed Cases]]*100</f>
        <v>18.353013711482529</v>
      </c>
      <c r="O29" s="22">
        <f>MAINTABLE[[#This Row],[Total Deaths]]/MAINTABLE[[#This Row],[Confirmed Cases]]</f>
        <v>2.6913643126164403E-2</v>
      </c>
      <c r="P29" s="22" t="str">
        <f>IF(MAINTABLE[[#This Row],[New cases]]&gt;$U$4,"YES","NO")</f>
        <v>NO</v>
      </c>
    </row>
    <row r="30" spans="1:16" x14ac:dyDescent="0.35">
      <c r="A30" s="1">
        <v>43880</v>
      </c>
      <c r="B30" s="3">
        <v>75030</v>
      </c>
      <c r="C30" s="3">
        <v>2123</v>
      </c>
      <c r="D30" s="3">
        <v>15394</v>
      </c>
      <c r="E30" s="3">
        <v>57513</v>
      </c>
      <c r="F30" s="3">
        <v>421</v>
      </c>
      <c r="G30" s="3">
        <v>115</v>
      </c>
      <c r="H30" s="3">
        <v>1701</v>
      </c>
      <c r="I30" s="3">
        <v>3</v>
      </c>
      <c r="J30" s="3">
        <v>21</v>
      </c>
      <c r="K30" s="3">
        <v>14</v>
      </c>
      <c r="L30" s="3">
        <v>28</v>
      </c>
      <c r="M30" s="3">
        <v>0.56110888977742202</v>
      </c>
      <c r="N30" s="23">
        <f>MAINTABLE[[#This Row],[Total Recovered Cases]]/MAINTABLE[[#This Row],[Confirmed Cases]]*100</f>
        <v>20.517126482740235</v>
      </c>
      <c r="O30" s="22">
        <f>MAINTABLE[[#This Row],[Total Deaths]]/MAINTABLE[[#This Row],[Confirmed Cases]]</f>
        <v>2.8295348527255765E-2</v>
      </c>
      <c r="P30" s="22" t="str">
        <f>IF(MAINTABLE[[#This Row],[New cases]]&gt;$U$4,"YES","NO")</f>
        <v>NO</v>
      </c>
    </row>
    <row r="31" spans="1:16" x14ac:dyDescent="0.35">
      <c r="A31" s="1">
        <v>43881</v>
      </c>
      <c r="B31" s="4">
        <v>75577</v>
      </c>
      <c r="C31" s="4">
        <v>2246</v>
      </c>
      <c r="D31" s="4">
        <v>17369</v>
      </c>
      <c r="E31" s="4">
        <v>55962</v>
      </c>
      <c r="F31" s="4">
        <v>547</v>
      </c>
      <c r="G31" s="4">
        <v>123</v>
      </c>
      <c r="H31" s="4">
        <v>1975</v>
      </c>
      <c r="I31" s="4">
        <v>3</v>
      </c>
      <c r="J31" s="4">
        <v>23</v>
      </c>
      <c r="K31" s="4">
        <v>13</v>
      </c>
      <c r="L31" s="4">
        <v>28</v>
      </c>
      <c r="M31" s="4">
        <v>0.72376516665123003</v>
      </c>
      <c r="N31" s="23">
        <f>MAINTABLE[[#This Row],[Total Recovered Cases]]/MAINTABLE[[#This Row],[Confirmed Cases]]*100</f>
        <v>22.981859560448285</v>
      </c>
      <c r="O31" s="22">
        <f>MAINTABLE[[#This Row],[Total Deaths]]/MAINTABLE[[#This Row],[Confirmed Cases]]</f>
        <v>2.9718035910396019E-2</v>
      </c>
      <c r="P31" s="22" t="str">
        <f>IF(MAINTABLE[[#This Row],[New cases]]&gt;$U$4,"YES","NO")</f>
        <v>NO</v>
      </c>
    </row>
    <row r="32" spans="1:16" x14ac:dyDescent="0.35">
      <c r="A32" s="1">
        <v>43882</v>
      </c>
      <c r="B32" s="3">
        <v>76206</v>
      </c>
      <c r="C32" s="3">
        <v>2250</v>
      </c>
      <c r="D32" s="3">
        <v>17966</v>
      </c>
      <c r="E32" s="3">
        <v>55990</v>
      </c>
      <c r="F32" s="3">
        <v>629</v>
      </c>
      <c r="G32" s="3">
        <v>4</v>
      </c>
      <c r="H32" s="3">
        <v>597</v>
      </c>
      <c r="I32" s="3">
        <v>3</v>
      </c>
      <c r="J32" s="3">
        <v>24</v>
      </c>
      <c r="K32" s="3">
        <v>13</v>
      </c>
      <c r="L32" s="3">
        <v>30</v>
      </c>
      <c r="M32" s="3">
        <v>0.82539432590609696</v>
      </c>
      <c r="N32" s="23">
        <f>MAINTABLE[[#This Row],[Total Recovered Cases]]/MAINTABLE[[#This Row],[Confirmed Cases]]*100</f>
        <v>23.575571477311495</v>
      </c>
      <c r="O32" s="22">
        <f>MAINTABLE[[#This Row],[Total Deaths]]/MAINTABLE[[#This Row],[Confirmed Cases]]</f>
        <v>2.9525234233524919E-2</v>
      </c>
      <c r="P32" s="22" t="str">
        <f>IF(MAINTABLE[[#This Row],[New cases]]&gt;$U$4,"YES","NO")</f>
        <v>NO</v>
      </c>
    </row>
    <row r="33" spans="1:16" x14ac:dyDescent="0.35">
      <c r="A33" s="1">
        <v>43883</v>
      </c>
      <c r="B33" s="4">
        <v>77967</v>
      </c>
      <c r="C33" s="4">
        <v>2457</v>
      </c>
      <c r="D33" s="4">
        <v>21849</v>
      </c>
      <c r="E33" s="4">
        <v>53661</v>
      </c>
      <c r="F33" s="4">
        <v>1761</v>
      </c>
      <c r="G33" s="4">
        <v>207</v>
      </c>
      <c r="H33" s="4">
        <v>3883</v>
      </c>
      <c r="I33" s="4">
        <v>3</v>
      </c>
      <c r="J33" s="4">
        <v>28</v>
      </c>
      <c r="K33" s="4">
        <v>11</v>
      </c>
      <c r="L33" s="4">
        <v>30</v>
      </c>
      <c r="M33" s="4">
        <v>2.2586478894917099</v>
      </c>
      <c r="N33" s="23">
        <f>MAINTABLE[[#This Row],[Total Recovered Cases]]/MAINTABLE[[#This Row],[Confirmed Cases]]*100</f>
        <v>28.02339451306322</v>
      </c>
      <c r="O33" s="22">
        <f>MAINTABLE[[#This Row],[Total Deaths]]/MAINTABLE[[#This Row],[Confirmed Cases]]</f>
        <v>3.1513332563776981E-2</v>
      </c>
      <c r="P33" s="22" t="str">
        <f>IF(MAINTABLE[[#This Row],[New cases]]&gt;$U$4,"YES","NO")</f>
        <v>NO</v>
      </c>
    </row>
    <row r="34" spans="1:16" x14ac:dyDescent="0.35">
      <c r="A34" s="1">
        <v>43884</v>
      </c>
      <c r="B34" s="3">
        <v>78290</v>
      </c>
      <c r="C34" s="3">
        <v>2467</v>
      </c>
      <c r="D34" s="3">
        <v>22304</v>
      </c>
      <c r="E34" s="3">
        <v>53519</v>
      </c>
      <c r="F34" s="3">
        <v>323</v>
      </c>
      <c r="G34" s="3">
        <v>10</v>
      </c>
      <c r="H34" s="3">
        <v>455</v>
      </c>
      <c r="I34" s="3">
        <v>3</v>
      </c>
      <c r="J34" s="3">
        <v>28</v>
      </c>
      <c r="K34" s="3">
        <v>11</v>
      </c>
      <c r="L34" s="3">
        <v>31</v>
      </c>
      <c r="M34" s="3">
        <v>0.412568655000639</v>
      </c>
      <c r="N34" s="23">
        <f>MAINTABLE[[#This Row],[Total Recovered Cases]]/MAINTABLE[[#This Row],[Confirmed Cases]]*100</f>
        <v>28.488951334780943</v>
      </c>
      <c r="O34" s="22">
        <f>MAINTABLE[[#This Row],[Total Deaths]]/MAINTABLE[[#This Row],[Confirmed Cases]]</f>
        <v>3.151104866521906E-2</v>
      </c>
      <c r="P34" s="22" t="str">
        <f>IF(MAINTABLE[[#This Row],[New cases]]&gt;$U$4,"YES","NO")</f>
        <v>NO</v>
      </c>
    </row>
    <row r="35" spans="1:16" x14ac:dyDescent="0.35">
      <c r="A35" s="1">
        <v>43885</v>
      </c>
      <c r="B35" s="4">
        <v>78854</v>
      </c>
      <c r="C35" s="4">
        <v>2627</v>
      </c>
      <c r="D35" s="4">
        <v>24047</v>
      </c>
      <c r="E35" s="4">
        <v>52180</v>
      </c>
      <c r="F35" s="4">
        <v>564</v>
      </c>
      <c r="G35" s="4">
        <v>160</v>
      </c>
      <c r="H35" s="4">
        <v>1743</v>
      </c>
      <c r="I35" s="4">
        <v>3</v>
      </c>
      <c r="J35" s="4">
        <v>30</v>
      </c>
      <c r="K35" s="4">
        <v>11</v>
      </c>
      <c r="L35" s="4">
        <v>36</v>
      </c>
      <c r="M35" s="4">
        <v>0.71524589748142098</v>
      </c>
      <c r="N35" s="23">
        <f>MAINTABLE[[#This Row],[Total Recovered Cases]]/MAINTABLE[[#This Row],[Confirmed Cases]]*100</f>
        <v>30.495599462297413</v>
      </c>
      <c r="O35" s="22">
        <f>MAINTABLE[[#This Row],[Total Deaths]]/MAINTABLE[[#This Row],[Confirmed Cases]]</f>
        <v>3.3314733558221524E-2</v>
      </c>
      <c r="P35" s="22" t="str">
        <f>IF(MAINTABLE[[#This Row],[New cases]]&gt;$U$4,"YES","NO")</f>
        <v>NO</v>
      </c>
    </row>
    <row r="36" spans="1:16" x14ac:dyDescent="0.35">
      <c r="A36" s="1">
        <v>43886</v>
      </c>
      <c r="B36" s="3">
        <v>79707</v>
      </c>
      <c r="C36" s="3">
        <v>2707</v>
      </c>
      <c r="D36" s="3">
        <v>26652</v>
      </c>
      <c r="E36" s="3">
        <v>50348</v>
      </c>
      <c r="F36" s="3">
        <v>853</v>
      </c>
      <c r="G36" s="3">
        <v>80</v>
      </c>
      <c r="H36" s="3">
        <v>2605</v>
      </c>
      <c r="I36" s="3">
        <v>3</v>
      </c>
      <c r="J36" s="3">
        <v>33</v>
      </c>
      <c r="K36" s="3">
        <v>10</v>
      </c>
      <c r="L36" s="3">
        <v>41</v>
      </c>
      <c r="M36" s="3">
        <v>1.0701694957782899</v>
      </c>
      <c r="N36" s="23">
        <f>MAINTABLE[[#This Row],[Total Recovered Cases]]/MAINTABLE[[#This Row],[Confirmed Cases]]*100</f>
        <v>33.437464714516921</v>
      </c>
      <c r="O36" s="22">
        <f>MAINTABLE[[#This Row],[Total Deaths]]/MAINTABLE[[#This Row],[Confirmed Cases]]</f>
        <v>3.3961885405296897E-2</v>
      </c>
      <c r="P36" s="22" t="str">
        <f>IF(MAINTABLE[[#This Row],[New cases]]&gt;$U$4,"YES","NO")</f>
        <v>NO</v>
      </c>
    </row>
    <row r="37" spans="1:16" x14ac:dyDescent="0.35">
      <c r="A37" s="1">
        <v>43887</v>
      </c>
      <c r="B37" s="4">
        <v>80670</v>
      </c>
      <c r="C37" s="4">
        <v>2767</v>
      </c>
      <c r="D37" s="4">
        <v>29077</v>
      </c>
      <c r="E37" s="4">
        <v>48826</v>
      </c>
      <c r="F37" s="4">
        <v>963</v>
      </c>
      <c r="G37" s="4">
        <v>60</v>
      </c>
      <c r="H37" s="4">
        <v>2425</v>
      </c>
      <c r="I37" s="4">
        <v>3</v>
      </c>
      <c r="J37" s="4">
        <v>36</v>
      </c>
      <c r="K37" s="4">
        <v>10</v>
      </c>
      <c r="L37" s="4">
        <v>47</v>
      </c>
      <c r="M37" s="4">
        <v>1.1937523242841199</v>
      </c>
      <c r="N37" s="23">
        <f>MAINTABLE[[#This Row],[Total Recovered Cases]]/MAINTABLE[[#This Row],[Confirmed Cases]]*100</f>
        <v>36.044378331473908</v>
      </c>
      <c r="O37" s="22">
        <f>MAINTABLE[[#This Row],[Total Deaths]]/MAINTABLE[[#This Row],[Confirmed Cases]]</f>
        <v>3.4300235527457541E-2</v>
      </c>
      <c r="P37" s="22" t="str">
        <f>IF(MAINTABLE[[#This Row],[New cases]]&gt;$U$4,"YES","NO")</f>
        <v>NO</v>
      </c>
    </row>
    <row r="38" spans="1:16" x14ac:dyDescent="0.35">
      <c r="A38" s="1">
        <v>43888</v>
      </c>
      <c r="B38" s="3">
        <v>82034</v>
      </c>
      <c r="C38" s="3">
        <v>2810</v>
      </c>
      <c r="D38" s="3">
        <v>31919</v>
      </c>
      <c r="E38" s="3">
        <v>47305</v>
      </c>
      <c r="F38" s="3">
        <v>1364</v>
      </c>
      <c r="G38" s="3">
        <v>43</v>
      </c>
      <c r="H38" s="3">
        <v>2842</v>
      </c>
      <c r="I38" s="3">
        <v>3</v>
      </c>
      <c r="J38" s="3">
        <v>39</v>
      </c>
      <c r="K38" s="3">
        <v>9</v>
      </c>
      <c r="L38" s="3">
        <v>51</v>
      </c>
      <c r="M38" s="3">
        <v>1.6627252114976701</v>
      </c>
      <c r="N38" s="23">
        <f>MAINTABLE[[#This Row],[Total Recovered Cases]]/MAINTABLE[[#This Row],[Confirmed Cases]]*100</f>
        <v>38.909476558500131</v>
      </c>
      <c r="O38" s="22">
        <f>MAINTABLE[[#This Row],[Total Deaths]]/MAINTABLE[[#This Row],[Confirmed Cases]]</f>
        <v>3.4254089767657314E-2</v>
      </c>
      <c r="P38" s="22" t="str">
        <f>IF(MAINTABLE[[#This Row],[New cases]]&gt;$U$4,"YES","NO")</f>
        <v>NO</v>
      </c>
    </row>
    <row r="39" spans="1:16" x14ac:dyDescent="0.35">
      <c r="A39" s="1">
        <v>43889</v>
      </c>
      <c r="B39" s="4">
        <v>83411</v>
      </c>
      <c r="C39" s="4">
        <v>2867</v>
      </c>
      <c r="D39" s="4">
        <v>35306</v>
      </c>
      <c r="E39" s="4">
        <v>45238</v>
      </c>
      <c r="F39" s="4">
        <v>1377</v>
      </c>
      <c r="G39" s="4">
        <v>57</v>
      </c>
      <c r="H39" s="4">
        <v>3387</v>
      </c>
      <c r="I39" s="4">
        <v>3</v>
      </c>
      <c r="J39" s="4">
        <v>42</v>
      </c>
      <c r="K39" s="4">
        <v>8</v>
      </c>
      <c r="L39" s="4">
        <v>57</v>
      </c>
      <c r="M39" s="4">
        <v>1.6508613971778301</v>
      </c>
      <c r="N39" s="23">
        <f>MAINTABLE[[#This Row],[Total Recovered Cases]]/MAINTABLE[[#This Row],[Confirmed Cases]]*100</f>
        <v>42.327750536499984</v>
      </c>
      <c r="O39" s="22">
        <f>MAINTABLE[[#This Row],[Total Deaths]]/MAINTABLE[[#This Row],[Confirmed Cases]]</f>
        <v>3.4371965328314012E-2</v>
      </c>
      <c r="P39" s="22" t="str">
        <f>IF(MAINTABLE[[#This Row],[New cases]]&gt;$U$4,"YES","NO")</f>
        <v>NO</v>
      </c>
    </row>
    <row r="40" spans="1:16" x14ac:dyDescent="0.35">
      <c r="A40" s="1">
        <v>43890</v>
      </c>
      <c r="B40" s="3">
        <v>85306</v>
      </c>
      <c r="C40" s="3">
        <v>2936</v>
      </c>
      <c r="D40" s="3">
        <v>38314</v>
      </c>
      <c r="E40" s="3">
        <v>44056</v>
      </c>
      <c r="F40" s="3">
        <v>1895</v>
      </c>
      <c r="G40" s="3">
        <v>69</v>
      </c>
      <c r="H40" s="3">
        <v>3008</v>
      </c>
      <c r="I40" s="3">
        <v>3</v>
      </c>
      <c r="J40" s="3">
        <v>45</v>
      </c>
      <c r="K40" s="3">
        <v>8</v>
      </c>
      <c r="L40" s="3">
        <v>61</v>
      </c>
      <c r="M40" s="3">
        <v>2.2214146718870902</v>
      </c>
      <c r="N40" s="23">
        <f>MAINTABLE[[#This Row],[Total Recovered Cases]]/MAINTABLE[[#This Row],[Confirmed Cases]]*100</f>
        <v>44.913605139146135</v>
      </c>
      <c r="O40" s="22">
        <f>MAINTABLE[[#This Row],[Total Deaths]]/MAINTABLE[[#This Row],[Confirmed Cases]]</f>
        <v>3.4417274283168826E-2</v>
      </c>
      <c r="P40" s="22" t="str">
        <f>IF(MAINTABLE[[#This Row],[New cases]]&gt;$U$4,"YES","NO")</f>
        <v>NO</v>
      </c>
    </row>
    <row r="41" spans="1:16" x14ac:dyDescent="0.35">
      <c r="A41" s="1">
        <v>43891</v>
      </c>
      <c r="B41" s="4">
        <v>87690</v>
      </c>
      <c r="C41" s="4">
        <v>2990</v>
      </c>
      <c r="D41" s="4">
        <v>41208</v>
      </c>
      <c r="E41" s="4">
        <v>43492</v>
      </c>
      <c r="F41" s="4">
        <v>2384</v>
      </c>
      <c r="G41" s="4">
        <v>54</v>
      </c>
      <c r="H41" s="4">
        <v>2894</v>
      </c>
      <c r="I41" s="4">
        <v>3</v>
      </c>
      <c r="J41" s="4">
        <v>47</v>
      </c>
      <c r="K41" s="4">
        <v>7</v>
      </c>
      <c r="L41" s="4">
        <v>66</v>
      </c>
      <c r="M41" s="4">
        <v>2.7186680351237298</v>
      </c>
      <c r="N41" s="23">
        <f>MAINTABLE[[#This Row],[Total Recovered Cases]]/MAINTABLE[[#This Row],[Confirmed Cases]]*100</f>
        <v>46.992815600410538</v>
      </c>
      <c r="O41" s="22">
        <f>MAINTABLE[[#This Row],[Total Deaths]]/MAINTABLE[[#This Row],[Confirmed Cases]]</f>
        <v>3.4097388527768273E-2</v>
      </c>
      <c r="P41" s="22" t="str">
        <f>IF(MAINTABLE[[#This Row],[New cases]]&gt;$U$4,"YES","NO")</f>
        <v>NO</v>
      </c>
    </row>
    <row r="42" spans="1:16" x14ac:dyDescent="0.35">
      <c r="A42" s="1">
        <v>43892</v>
      </c>
      <c r="B42" s="3">
        <v>89664</v>
      </c>
      <c r="C42" s="3">
        <v>3079</v>
      </c>
      <c r="D42" s="3">
        <v>44085</v>
      </c>
      <c r="E42" s="3">
        <v>42500</v>
      </c>
      <c r="F42" s="3">
        <v>1974</v>
      </c>
      <c r="G42" s="3">
        <v>89</v>
      </c>
      <c r="H42" s="3">
        <v>2877</v>
      </c>
      <c r="I42" s="3">
        <v>3</v>
      </c>
      <c r="J42" s="3">
        <v>49</v>
      </c>
      <c r="K42" s="3">
        <v>7</v>
      </c>
      <c r="L42" s="3">
        <v>73</v>
      </c>
      <c r="M42" s="3">
        <v>2.2015524625267702</v>
      </c>
      <c r="N42" s="23">
        <f>MAINTABLE[[#This Row],[Total Recovered Cases]]/MAINTABLE[[#This Row],[Confirmed Cases]]*100</f>
        <v>49.166889721627413</v>
      </c>
      <c r="O42" s="22">
        <f>MAINTABLE[[#This Row],[Total Deaths]]/MAINTABLE[[#This Row],[Confirmed Cases]]</f>
        <v>3.4339311206281226E-2</v>
      </c>
      <c r="P42" s="22" t="str">
        <f>IF(MAINTABLE[[#This Row],[New cases]]&gt;$U$4,"YES","NO")</f>
        <v>NO</v>
      </c>
    </row>
    <row r="43" spans="1:16" x14ac:dyDescent="0.35">
      <c r="A43" s="1">
        <v>43893</v>
      </c>
      <c r="B43" s="4">
        <v>92241</v>
      </c>
      <c r="C43" s="4">
        <v>3154</v>
      </c>
      <c r="D43" s="4">
        <v>46681</v>
      </c>
      <c r="E43" s="4">
        <v>42406</v>
      </c>
      <c r="F43" s="4">
        <v>2577</v>
      </c>
      <c r="G43" s="4">
        <v>75</v>
      </c>
      <c r="H43" s="4">
        <v>2596</v>
      </c>
      <c r="I43" s="4">
        <v>3</v>
      </c>
      <c r="J43" s="4">
        <v>51</v>
      </c>
      <c r="K43" s="4">
        <v>7</v>
      </c>
      <c r="L43" s="4">
        <v>76</v>
      </c>
      <c r="M43" s="4">
        <v>2.7937684977396202</v>
      </c>
      <c r="N43" s="23">
        <f>MAINTABLE[[#This Row],[Total Recovered Cases]]/MAINTABLE[[#This Row],[Confirmed Cases]]*100</f>
        <v>50.60764735854989</v>
      </c>
      <c r="O43" s="22">
        <f>MAINTABLE[[#This Row],[Total Deaths]]/MAINTABLE[[#This Row],[Confirmed Cases]]</f>
        <v>3.4193037803146108E-2</v>
      </c>
      <c r="P43" s="22" t="str">
        <f>IF(MAINTABLE[[#This Row],[New cases]]&gt;$U$4,"YES","NO")</f>
        <v>NO</v>
      </c>
    </row>
    <row r="44" spans="1:16" x14ac:dyDescent="0.35">
      <c r="A44" s="1">
        <v>43894</v>
      </c>
      <c r="B44" s="3">
        <v>94540</v>
      </c>
      <c r="C44" s="3">
        <v>3249</v>
      </c>
      <c r="D44" s="3">
        <v>49619</v>
      </c>
      <c r="E44" s="3">
        <v>41672</v>
      </c>
      <c r="F44" s="3">
        <v>2299</v>
      </c>
      <c r="G44" s="3">
        <v>95</v>
      </c>
      <c r="H44" s="3">
        <v>2938</v>
      </c>
      <c r="I44" s="3">
        <v>3</v>
      </c>
      <c r="J44" s="3">
        <v>52</v>
      </c>
      <c r="K44" s="3">
        <v>7</v>
      </c>
      <c r="L44" s="3">
        <v>80</v>
      </c>
      <c r="M44" s="3">
        <v>2.43177491009097</v>
      </c>
      <c r="N44" s="23">
        <f>MAINTABLE[[#This Row],[Total Recovered Cases]]/MAINTABLE[[#This Row],[Confirmed Cases]]*100</f>
        <v>52.484662576687114</v>
      </c>
      <c r="O44" s="22">
        <f>MAINTABLE[[#This Row],[Total Deaths]]/MAINTABLE[[#This Row],[Confirmed Cases]]</f>
        <v>3.4366405754178125E-2</v>
      </c>
      <c r="P44" s="22" t="str">
        <f>IF(MAINTABLE[[#This Row],[New cases]]&gt;$U$4,"YES","NO")</f>
        <v>NO</v>
      </c>
    </row>
    <row r="45" spans="1:16" x14ac:dyDescent="0.35">
      <c r="A45" s="1">
        <v>43895</v>
      </c>
      <c r="B45" s="4">
        <v>97331</v>
      </c>
      <c r="C45" s="4">
        <v>3342</v>
      </c>
      <c r="D45" s="4">
        <v>52237</v>
      </c>
      <c r="E45" s="4">
        <v>41752</v>
      </c>
      <c r="F45" s="4">
        <v>2791</v>
      </c>
      <c r="G45" s="4">
        <v>93</v>
      </c>
      <c r="H45" s="4">
        <v>2618</v>
      </c>
      <c r="I45" s="4">
        <v>3</v>
      </c>
      <c r="J45" s="4">
        <v>54</v>
      </c>
      <c r="K45" s="4">
        <v>6</v>
      </c>
      <c r="L45" s="4">
        <v>84</v>
      </c>
      <c r="M45" s="4">
        <v>2.8675344956899602</v>
      </c>
      <c r="N45" s="23">
        <f>MAINTABLE[[#This Row],[Total Recovered Cases]]/MAINTABLE[[#This Row],[Confirmed Cases]]*100</f>
        <v>53.66943728103071</v>
      </c>
      <c r="O45" s="22">
        <f>MAINTABLE[[#This Row],[Total Deaths]]/MAINTABLE[[#This Row],[Confirmed Cases]]</f>
        <v>3.4336439572181528E-2</v>
      </c>
      <c r="P45" s="22" t="str">
        <f>IF(MAINTABLE[[#This Row],[New cases]]&gt;$U$4,"YES","NO")</f>
        <v>NO</v>
      </c>
    </row>
    <row r="46" spans="1:16" x14ac:dyDescent="0.35">
      <c r="A46" s="1">
        <v>43896</v>
      </c>
      <c r="B46" s="3">
        <v>101274</v>
      </c>
      <c r="C46" s="3">
        <v>3454</v>
      </c>
      <c r="D46" s="3">
        <v>54270</v>
      </c>
      <c r="E46" s="3">
        <v>43550</v>
      </c>
      <c r="F46" s="3">
        <v>3943</v>
      </c>
      <c r="G46" s="3">
        <v>112</v>
      </c>
      <c r="H46" s="3">
        <v>2033</v>
      </c>
      <c r="I46" s="3">
        <v>3</v>
      </c>
      <c r="J46" s="3">
        <v>54</v>
      </c>
      <c r="K46" s="3">
        <v>6</v>
      </c>
      <c r="L46" s="3">
        <v>93</v>
      </c>
      <c r="M46" s="3">
        <v>3.8933981081027702</v>
      </c>
      <c r="N46" s="23">
        <f>MAINTABLE[[#This Row],[Total Recovered Cases]]/MAINTABLE[[#This Row],[Confirmed Cases]]*100</f>
        <v>53.587297825700574</v>
      </c>
      <c r="O46" s="22">
        <f>MAINTABLE[[#This Row],[Total Deaths]]/MAINTABLE[[#This Row],[Confirmed Cases]]</f>
        <v>3.4105495981199517E-2</v>
      </c>
      <c r="P46" s="22" t="str">
        <f>IF(MAINTABLE[[#This Row],[New cases]]&gt;$U$4,"YES","NO")</f>
        <v>NO</v>
      </c>
    </row>
    <row r="47" spans="1:16" x14ac:dyDescent="0.35">
      <c r="A47" s="1">
        <v>43897</v>
      </c>
      <c r="B47" s="4">
        <v>105312</v>
      </c>
      <c r="C47" s="4">
        <v>3553</v>
      </c>
      <c r="D47" s="4">
        <v>56760</v>
      </c>
      <c r="E47" s="4">
        <v>44999</v>
      </c>
      <c r="F47" s="4">
        <v>4038</v>
      </c>
      <c r="G47" s="4">
        <v>99</v>
      </c>
      <c r="H47" s="4">
        <v>2490</v>
      </c>
      <c r="I47" s="4">
        <v>3</v>
      </c>
      <c r="J47" s="4">
        <v>54</v>
      </c>
      <c r="K47" s="4">
        <v>6</v>
      </c>
      <c r="L47" s="4">
        <v>94</v>
      </c>
      <c r="M47" s="4">
        <v>3.8343208751139501</v>
      </c>
      <c r="N47" s="23">
        <f>MAINTABLE[[#This Row],[Total Recovered Cases]]/MAINTABLE[[#This Row],[Confirmed Cases]]*100</f>
        <v>53.896991795806748</v>
      </c>
      <c r="O47" s="22">
        <f>MAINTABLE[[#This Row],[Total Deaths]]/MAINTABLE[[#This Row],[Confirmed Cases]]</f>
        <v>3.3737845639623218E-2</v>
      </c>
      <c r="P47" s="22" t="str">
        <f>IF(MAINTABLE[[#This Row],[New cases]]&gt;$U$4,"YES","NO")</f>
        <v>NO</v>
      </c>
    </row>
    <row r="48" spans="1:16" x14ac:dyDescent="0.35">
      <c r="A48" s="1">
        <v>43898</v>
      </c>
      <c r="B48" s="3">
        <v>109266</v>
      </c>
      <c r="C48" s="3">
        <v>3797</v>
      </c>
      <c r="D48" s="3">
        <v>59092</v>
      </c>
      <c r="E48" s="3">
        <v>46377</v>
      </c>
      <c r="F48" s="3">
        <v>3954</v>
      </c>
      <c r="G48" s="3">
        <v>244</v>
      </c>
      <c r="H48" s="3">
        <v>2332</v>
      </c>
      <c r="I48" s="3">
        <v>3</v>
      </c>
      <c r="J48" s="3">
        <v>54</v>
      </c>
      <c r="K48" s="3">
        <v>6</v>
      </c>
      <c r="L48" s="3">
        <v>99</v>
      </c>
      <c r="M48" s="3">
        <v>3.6186919993410598</v>
      </c>
      <c r="N48" s="23">
        <f>MAINTABLE[[#This Row],[Total Recovered Cases]]/MAINTABLE[[#This Row],[Confirmed Cases]]*100</f>
        <v>54.080866875331758</v>
      </c>
      <c r="O48" s="22">
        <f>MAINTABLE[[#This Row],[Total Deaths]]/MAINTABLE[[#This Row],[Confirmed Cases]]</f>
        <v>3.4750059487855325E-2</v>
      </c>
      <c r="P48" s="22" t="str">
        <f>IF(MAINTABLE[[#This Row],[New cases]]&gt;$U$4,"YES","NO")</f>
        <v>NO</v>
      </c>
    </row>
    <row r="49" spans="1:16" x14ac:dyDescent="0.35">
      <c r="A49" s="1">
        <v>43899</v>
      </c>
      <c r="B49" s="4">
        <v>113166</v>
      </c>
      <c r="C49" s="4">
        <v>3981</v>
      </c>
      <c r="D49" s="4">
        <v>60891</v>
      </c>
      <c r="E49" s="4">
        <v>48294</v>
      </c>
      <c r="F49" s="4">
        <v>3900</v>
      </c>
      <c r="G49" s="4">
        <v>184</v>
      </c>
      <c r="H49" s="4">
        <v>1799</v>
      </c>
      <c r="I49" s="4">
        <v>4</v>
      </c>
      <c r="J49" s="4">
        <v>54</v>
      </c>
      <c r="K49" s="4">
        <v>7</v>
      </c>
      <c r="L49" s="4">
        <v>102</v>
      </c>
      <c r="M49" s="4">
        <v>3.4462647791739598</v>
      </c>
      <c r="N49" s="23">
        <f>MAINTABLE[[#This Row],[Total Recovered Cases]]/MAINTABLE[[#This Row],[Confirmed Cases]]*100</f>
        <v>53.8067970945337</v>
      </c>
      <c r="O49" s="22">
        <f>MAINTABLE[[#This Row],[Total Deaths]]/MAINTABLE[[#This Row],[Confirmed Cases]]</f>
        <v>3.5178410476644932E-2</v>
      </c>
      <c r="P49" s="22" t="str">
        <f>IF(MAINTABLE[[#This Row],[New cases]]&gt;$U$4,"YES","NO")</f>
        <v>NO</v>
      </c>
    </row>
    <row r="50" spans="1:16" x14ac:dyDescent="0.35">
      <c r="A50" s="1">
        <v>43900</v>
      </c>
      <c r="B50" s="3">
        <v>118190</v>
      </c>
      <c r="C50" s="3">
        <v>4260</v>
      </c>
      <c r="D50" s="3">
        <v>62802</v>
      </c>
      <c r="E50" s="3">
        <v>51128</v>
      </c>
      <c r="F50" s="3">
        <v>5024</v>
      </c>
      <c r="G50" s="3">
        <v>279</v>
      </c>
      <c r="H50" s="3">
        <v>1911</v>
      </c>
      <c r="I50" s="3">
        <v>4</v>
      </c>
      <c r="J50" s="3">
        <v>53</v>
      </c>
      <c r="K50" s="3">
        <v>7</v>
      </c>
      <c r="L50" s="3">
        <v>105</v>
      </c>
      <c r="M50" s="3">
        <v>4.2507826381250498</v>
      </c>
      <c r="N50" s="23">
        <f>MAINTABLE[[#This Row],[Total Recovered Cases]]/MAINTABLE[[#This Row],[Confirmed Cases]]*100</f>
        <v>53.136475167103811</v>
      </c>
      <c r="O50" s="22">
        <f>MAINTABLE[[#This Row],[Total Deaths]]/MAINTABLE[[#This Row],[Confirmed Cases]]</f>
        <v>3.6043658515948894E-2</v>
      </c>
      <c r="P50" s="22" t="str">
        <f>IF(MAINTABLE[[#This Row],[New cases]]&gt;$U$4,"YES","NO")</f>
        <v>NO</v>
      </c>
    </row>
    <row r="51" spans="1:16" x14ac:dyDescent="0.35">
      <c r="A51" s="1">
        <v>43901</v>
      </c>
      <c r="B51" s="4">
        <v>125853</v>
      </c>
      <c r="C51" s="4">
        <v>4604</v>
      </c>
      <c r="D51" s="4">
        <v>65113</v>
      </c>
      <c r="E51" s="4">
        <v>56136</v>
      </c>
      <c r="F51" s="4">
        <v>7663</v>
      </c>
      <c r="G51" s="4">
        <v>344</v>
      </c>
      <c r="H51" s="4">
        <v>2311</v>
      </c>
      <c r="I51" s="4">
        <v>4</v>
      </c>
      <c r="J51" s="4">
        <v>52</v>
      </c>
      <c r="K51" s="4">
        <v>7</v>
      </c>
      <c r="L51" s="4">
        <v>111</v>
      </c>
      <c r="M51" s="4">
        <v>6.0888496897173701</v>
      </c>
      <c r="N51" s="23">
        <f>MAINTABLE[[#This Row],[Total Recovered Cases]]/MAINTABLE[[#This Row],[Confirmed Cases]]*100</f>
        <v>51.737344362073209</v>
      </c>
      <c r="O51" s="22">
        <f>MAINTABLE[[#This Row],[Total Deaths]]/MAINTABLE[[#This Row],[Confirmed Cases]]</f>
        <v>3.6582361961971503E-2</v>
      </c>
      <c r="P51" s="22" t="str">
        <f>IF(MAINTABLE[[#This Row],[New cases]]&gt;$U$4,"YES","NO")</f>
        <v>NO</v>
      </c>
    </row>
    <row r="52" spans="1:16" x14ac:dyDescent="0.35">
      <c r="A52" s="1">
        <v>43902</v>
      </c>
      <c r="B52" s="3">
        <v>131603</v>
      </c>
      <c r="C52" s="3">
        <v>4909</v>
      </c>
      <c r="D52" s="3">
        <v>66434</v>
      </c>
      <c r="E52" s="3">
        <v>60260</v>
      </c>
      <c r="F52" s="3">
        <v>5750</v>
      </c>
      <c r="G52" s="3">
        <v>305</v>
      </c>
      <c r="H52" s="3">
        <v>1321</v>
      </c>
      <c r="I52" s="3">
        <v>4</v>
      </c>
      <c r="J52" s="3">
        <v>50</v>
      </c>
      <c r="K52" s="3">
        <v>7</v>
      </c>
      <c r="L52" s="3">
        <v>113</v>
      </c>
      <c r="M52" s="3">
        <v>4.3692013100005296</v>
      </c>
      <c r="N52" s="23">
        <f>MAINTABLE[[#This Row],[Total Recovered Cases]]/MAINTABLE[[#This Row],[Confirmed Cases]]*100</f>
        <v>50.480612144100057</v>
      </c>
      <c r="O52" s="22">
        <f>MAINTABLE[[#This Row],[Total Deaths]]/MAINTABLE[[#This Row],[Confirmed Cases]]</f>
        <v>3.7301581270943671E-2</v>
      </c>
      <c r="P52" s="22" t="str">
        <f>IF(MAINTABLE[[#This Row],[New cases]]&gt;$U$4,"YES","NO")</f>
        <v>NO</v>
      </c>
    </row>
    <row r="53" spans="1:16" x14ac:dyDescent="0.35">
      <c r="A53" s="1">
        <v>43903</v>
      </c>
      <c r="B53" s="4">
        <v>146008</v>
      </c>
      <c r="C53" s="4">
        <v>5406</v>
      </c>
      <c r="D53" s="4">
        <v>68359</v>
      </c>
      <c r="E53" s="4">
        <v>72243</v>
      </c>
      <c r="F53" s="4">
        <v>14405</v>
      </c>
      <c r="G53" s="4">
        <v>497</v>
      </c>
      <c r="H53" s="4">
        <v>1925</v>
      </c>
      <c r="I53" s="4">
        <v>4</v>
      </c>
      <c r="J53" s="4">
        <v>47</v>
      </c>
      <c r="K53" s="4">
        <v>8</v>
      </c>
      <c r="L53" s="4">
        <v>120</v>
      </c>
      <c r="M53" s="4">
        <v>9.8658977590269004</v>
      </c>
      <c r="N53" s="23">
        <f>MAINTABLE[[#This Row],[Total Recovered Cases]]/MAINTABLE[[#This Row],[Confirmed Cases]]*100</f>
        <v>46.818667470275599</v>
      </c>
      <c r="O53" s="22">
        <f>MAINTABLE[[#This Row],[Total Deaths]]/MAINTABLE[[#This Row],[Confirmed Cases]]</f>
        <v>3.7025368472960389E-2</v>
      </c>
      <c r="P53" s="22" t="str">
        <f>IF(MAINTABLE[[#This Row],[New cases]]&gt;$U$4,"YES","NO")</f>
        <v>NO</v>
      </c>
    </row>
    <row r="54" spans="1:16" x14ac:dyDescent="0.35">
      <c r="A54" s="1">
        <v>43904</v>
      </c>
      <c r="B54" s="3">
        <v>157114</v>
      </c>
      <c r="C54" s="3">
        <v>5823</v>
      </c>
      <c r="D54" s="3">
        <v>70729</v>
      </c>
      <c r="E54" s="3">
        <v>80562</v>
      </c>
      <c r="F54" s="3">
        <v>11106</v>
      </c>
      <c r="G54" s="3">
        <v>417</v>
      </c>
      <c r="H54" s="3">
        <v>2370</v>
      </c>
      <c r="I54" s="3">
        <v>4</v>
      </c>
      <c r="J54" s="3">
        <v>45</v>
      </c>
      <c r="K54" s="3">
        <v>8</v>
      </c>
      <c r="L54" s="3">
        <v>133</v>
      </c>
      <c r="M54" s="3">
        <v>7.0687526254821398</v>
      </c>
      <c r="N54" s="23">
        <f>MAINTABLE[[#This Row],[Total Recovered Cases]]/MAINTABLE[[#This Row],[Confirmed Cases]]*100</f>
        <v>45.017630510330079</v>
      </c>
      <c r="O54" s="22">
        <f>MAINTABLE[[#This Row],[Total Deaths]]/MAINTABLE[[#This Row],[Confirmed Cases]]</f>
        <v>3.7062260524205352E-2</v>
      </c>
      <c r="P54" s="22" t="str">
        <f>IF(MAINTABLE[[#This Row],[New cases]]&gt;$U$4,"YES","NO")</f>
        <v>NO</v>
      </c>
    </row>
    <row r="55" spans="1:16" x14ac:dyDescent="0.35">
      <c r="A55" s="1">
        <v>43905</v>
      </c>
      <c r="B55" s="4">
        <v>168260</v>
      </c>
      <c r="C55" s="4">
        <v>6464</v>
      </c>
      <c r="D55" s="4">
        <v>74139</v>
      </c>
      <c r="E55" s="4">
        <v>87657</v>
      </c>
      <c r="F55" s="4">
        <v>11146</v>
      </c>
      <c r="G55" s="4">
        <v>641</v>
      </c>
      <c r="H55" s="4">
        <v>3410</v>
      </c>
      <c r="I55" s="4">
        <v>4</v>
      </c>
      <c r="J55" s="4">
        <v>44</v>
      </c>
      <c r="K55" s="4">
        <v>9</v>
      </c>
      <c r="L55" s="4">
        <v>137</v>
      </c>
      <c r="M55" s="4">
        <v>6.6242719600618098</v>
      </c>
      <c r="N55" s="23">
        <f>MAINTABLE[[#This Row],[Total Recovered Cases]]/MAINTABLE[[#This Row],[Confirmed Cases]]*100</f>
        <v>44.062165695946746</v>
      </c>
      <c r="O55" s="22">
        <f>MAINTABLE[[#This Row],[Total Deaths]]/MAINTABLE[[#This Row],[Confirmed Cases]]</f>
        <v>3.8416736003803638E-2</v>
      </c>
      <c r="P55" s="22" t="str">
        <f>IF(MAINTABLE[[#This Row],[New cases]]&gt;$U$4,"YES","NO")</f>
        <v>NO</v>
      </c>
    </row>
    <row r="56" spans="1:16" x14ac:dyDescent="0.35">
      <c r="A56" s="1">
        <v>43906</v>
      </c>
      <c r="B56" s="3">
        <v>182919</v>
      </c>
      <c r="C56" s="3">
        <v>7144</v>
      </c>
      <c r="D56" s="3">
        <v>76192</v>
      </c>
      <c r="E56" s="3">
        <v>99583</v>
      </c>
      <c r="F56" s="3">
        <v>14659</v>
      </c>
      <c r="G56" s="3">
        <v>680</v>
      </c>
      <c r="H56" s="3">
        <v>2053</v>
      </c>
      <c r="I56" s="3">
        <v>4</v>
      </c>
      <c r="J56" s="3">
        <v>42</v>
      </c>
      <c r="K56" s="3">
        <v>9</v>
      </c>
      <c r="L56" s="3">
        <v>143</v>
      </c>
      <c r="M56" s="3">
        <v>8.0139296628562402</v>
      </c>
      <c r="N56" s="23">
        <f>MAINTABLE[[#This Row],[Total Recovered Cases]]/MAINTABLE[[#This Row],[Confirmed Cases]]*100</f>
        <v>41.653409432590379</v>
      </c>
      <c r="O56" s="22">
        <f>MAINTABLE[[#This Row],[Total Deaths]]/MAINTABLE[[#This Row],[Confirmed Cases]]</f>
        <v>3.9055538243703496E-2</v>
      </c>
      <c r="P56" s="22" t="str">
        <f>IF(MAINTABLE[[#This Row],[New cases]]&gt;$U$4,"YES","NO")</f>
        <v>NO</v>
      </c>
    </row>
    <row r="57" spans="1:16" x14ac:dyDescent="0.35">
      <c r="A57" s="1">
        <v>43907</v>
      </c>
      <c r="B57" s="4">
        <v>198757</v>
      </c>
      <c r="C57" s="4">
        <v>7948</v>
      </c>
      <c r="D57" s="4">
        <v>78944</v>
      </c>
      <c r="E57" s="4">
        <v>111865</v>
      </c>
      <c r="F57" s="4">
        <v>15838</v>
      </c>
      <c r="G57" s="4">
        <v>804</v>
      </c>
      <c r="H57" s="4">
        <v>2752</v>
      </c>
      <c r="I57" s="4">
        <v>4</v>
      </c>
      <c r="J57" s="4">
        <v>40</v>
      </c>
      <c r="K57" s="4">
        <v>10</v>
      </c>
      <c r="L57" s="4">
        <v>146</v>
      </c>
      <c r="M57" s="4">
        <v>7.9685243790155802</v>
      </c>
      <c r="N57" s="23">
        <f>MAINTABLE[[#This Row],[Total Recovered Cases]]/MAINTABLE[[#This Row],[Confirmed Cases]]*100</f>
        <v>39.718852669339952</v>
      </c>
      <c r="O57" s="22">
        <f>MAINTABLE[[#This Row],[Total Deaths]]/MAINTABLE[[#This Row],[Confirmed Cases]]</f>
        <v>3.998852870590721E-2</v>
      </c>
      <c r="P57" s="22" t="str">
        <f>IF(MAINTABLE[[#This Row],[New cases]]&gt;$U$4,"YES","NO")</f>
        <v>NO</v>
      </c>
    </row>
    <row r="58" spans="1:16" x14ac:dyDescent="0.35">
      <c r="A58" s="1">
        <v>43908</v>
      </c>
      <c r="B58" s="3">
        <v>218343</v>
      </c>
      <c r="C58" s="3">
        <v>8845</v>
      </c>
      <c r="D58" s="3">
        <v>81427</v>
      </c>
      <c r="E58" s="3">
        <v>128071</v>
      </c>
      <c r="F58" s="3">
        <v>19586</v>
      </c>
      <c r="G58" s="3">
        <v>897</v>
      </c>
      <c r="H58" s="3">
        <v>2483</v>
      </c>
      <c r="I58" s="3">
        <v>4</v>
      </c>
      <c r="J58" s="3">
        <v>37</v>
      </c>
      <c r="K58" s="3">
        <v>11</v>
      </c>
      <c r="L58" s="3">
        <v>150</v>
      </c>
      <c r="M58" s="3">
        <v>8.9702898650288798</v>
      </c>
      <c r="N58" s="23">
        <f>MAINTABLE[[#This Row],[Total Recovered Cases]]/MAINTABLE[[#This Row],[Confirmed Cases]]*100</f>
        <v>37.293158012851343</v>
      </c>
      <c r="O58" s="22">
        <f>MAINTABLE[[#This Row],[Total Deaths]]/MAINTABLE[[#This Row],[Confirmed Cases]]</f>
        <v>4.050965682435434E-2</v>
      </c>
      <c r="P58" s="22" t="str">
        <f>IF(MAINTABLE[[#This Row],[New cases]]&gt;$U$4,"YES","NO")</f>
        <v>NO</v>
      </c>
    </row>
    <row r="59" spans="1:16" x14ac:dyDescent="0.35">
      <c r="A59" s="1">
        <v>43909</v>
      </c>
      <c r="B59" s="4">
        <v>246261</v>
      </c>
      <c r="C59" s="4">
        <v>9951</v>
      </c>
      <c r="D59" s="4">
        <v>83064</v>
      </c>
      <c r="E59" s="4">
        <v>153246</v>
      </c>
      <c r="F59" s="4">
        <v>27918</v>
      </c>
      <c r="G59" s="4">
        <v>1106</v>
      </c>
      <c r="H59" s="4">
        <v>1637</v>
      </c>
      <c r="I59" s="4">
        <v>4</v>
      </c>
      <c r="J59" s="4">
        <v>34</v>
      </c>
      <c r="K59" s="4">
        <v>12</v>
      </c>
      <c r="L59" s="4">
        <v>154</v>
      </c>
      <c r="M59" s="4">
        <v>11.3367524699404</v>
      </c>
      <c r="N59" s="23">
        <f>MAINTABLE[[#This Row],[Total Recovered Cases]]/MAINTABLE[[#This Row],[Confirmed Cases]]*100</f>
        <v>33.730066880261184</v>
      </c>
      <c r="O59" s="22">
        <f>MAINTABLE[[#This Row],[Total Deaths]]/MAINTABLE[[#This Row],[Confirmed Cases]]</f>
        <v>4.0408347241341507E-2</v>
      </c>
      <c r="P59" s="22" t="str">
        <f>IF(MAINTABLE[[#This Row],[New cases]]&gt;$U$4,"YES","NO")</f>
        <v>NO</v>
      </c>
    </row>
    <row r="60" spans="1:16" x14ac:dyDescent="0.35">
      <c r="A60" s="1">
        <v>43910</v>
      </c>
      <c r="B60" s="3">
        <v>275869</v>
      </c>
      <c r="C60" s="3">
        <v>11429</v>
      </c>
      <c r="D60" s="3">
        <v>85509</v>
      </c>
      <c r="E60" s="3">
        <v>178931</v>
      </c>
      <c r="F60" s="3">
        <v>29608</v>
      </c>
      <c r="G60" s="3">
        <v>1478</v>
      </c>
      <c r="H60" s="3">
        <v>2445</v>
      </c>
      <c r="I60" s="3">
        <v>4</v>
      </c>
      <c r="J60" s="3">
        <v>31</v>
      </c>
      <c r="K60" s="3">
        <v>13</v>
      </c>
      <c r="L60" s="3">
        <v>161</v>
      </c>
      <c r="M60" s="3">
        <v>10.732630342662601</v>
      </c>
      <c r="N60" s="23">
        <f>MAINTABLE[[#This Row],[Total Recovered Cases]]/MAINTABLE[[#This Row],[Confirmed Cases]]*100</f>
        <v>30.996233719627796</v>
      </c>
      <c r="O60" s="22">
        <f>MAINTABLE[[#This Row],[Total Deaths]]/MAINTABLE[[#This Row],[Confirmed Cases]]</f>
        <v>4.1429084094262131E-2</v>
      </c>
      <c r="P60" s="22" t="str">
        <f>IF(MAINTABLE[[#This Row],[New cases]]&gt;$U$4,"YES","NO")</f>
        <v>NO</v>
      </c>
    </row>
    <row r="61" spans="1:16" x14ac:dyDescent="0.35">
      <c r="A61" s="1">
        <v>43911</v>
      </c>
      <c r="B61" s="4">
        <v>308175</v>
      </c>
      <c r="C61" s="4">
        <v>13134</v>
      </c>
      <c r="D61" s="4">
        <v>89775</v>
      </c>
      <c r="E61" s="4">
        <v>205266</v>
      </c>
      <c r="F61" s="4">
        <v>32306</v>
      </c>
      <c r="G61" s="4">
        <v>1705</v>
      </c>
      <c r="H61" s="4">
        <v>4266</v>
      </c>
      <c r="I61" s="4">
        <v>4</v>
      </c>
      <c r="J61" s="4">
        <v>29</v>
      </c>
      <c r="K61" s="4">
        <v>15</v>
      </c>
      <c r="L61" s="4">
        <v>163</v>
      </c>
      <c r="M61" s="4">
        <v>10.483004786241599</v>
      </c>
      <c r="N61" s="23">
        <f>MAINTABLE[[#This Row],[Total Recovered Cases]]/MAINTABLE[[#This Row],[Confirmed Cases]]*100</f>
        <v>29.131175468483818</v>
      </c>
      <c r="O61" s="22">
        <f>MAINTABLE[[#This Row],[Total Deaths]]/MAINTABLE[[#This Row],[Confirmed Cases]]</f>
        <v>4.2618642005354097E-2</v>
      </c>
      <c r="P61" s="22" t="str">
        <f>IF(MAINTABLE[[#This Row],[New cases]]&gt;$U$4,"YES","NO")</f>
        <v>NO</v>
      </c>
    </row>
    <row r="62" spans="1:16" x14ac:dyDescent="0.35">
      <c r="A62" s="1">
        <v>43912</v>
      </c>
      <c r="B62" s="3">
        <v>341585</v>
      </c>
      <c r="C62" s="3">
        <v>14831</v>
      </c>
      <c r="D62" s="3">
        <v>95990</v>
      </c>
      <c r="E62" s="3">
        <v>230764</v>
      </c>
      <c r="F62" s="3">
        <v>33410</v>
      </c>
      <c r="G62" s="3">
        <v>1697</v>
      </c>
      <c r="H62" s="3">
        <v>6215</v>
      </c>
      <c r="I62" s="3">
        <v>4</v>
      </c>
      <c r="J62" s="3">
        <v>28</v>
      </c>
      <c r="K62" s="3">
        <v>15</v>
      </c>
      <c r="L62" s="3">
        <v>168</v>
      </c>
      <c r="M62" s="3">
        <v>9.7808744529180203</v>
      </c>
      <c r="N62" s="23">
        <f>MAINTABLE[[#This Row],[Total Recovered Cases]]/MAINTABLE[[#This Row],[Confirmed Cases]]*100</f>
        <v>28.101351054642333</v>
      </c>
      <c r="O62" s="22">
        <f>MAINTABLE[[#This Row],[Total Deaths]]/MAINTABLE[[#This Row],[Confirmed Cases]]</f>
        <v>4.3418182882737827E-2</v>
      </c>
      <c r="P62" s="22" t="str">
        <f>IF(MAINTABLE[[#This Row],[New cases]]&gt;$U$4,"YES","NO")</f>
        <v>NO</v>
      </c>
    </row>
    <row r="63" spans="1:16" x14ac:dyDescent="0.35">
      <c r="A63" s="1">
        <v>43913</v>
      </c>
      <c r="B63" s="4">
        <v>383750</v>
      </c>
      <c r="C63" s="4">
        <v>16748</v>
      </c>
      <c r="D63" s="4">
        <v>96456</v>
      </c>
      <c r="E63" s="4">
        <v>270546</v>
      </c>
      <c r="F63" s="4">
        <v>42165</v>
      </c>
      <c r="G63" s="4">
        <v>1917</v>
      </c>
      <c r="H63" s="4">
        <v>466</v>
      </c>
      <c r="I63" s="4">
        <v>4</v>
      </c>
      <c r="J63" s="4">
        <v>25</v>
      </c>
      <c r="K63" s="4">
        <v>17</v>
      </c>
      <c r="L63" s="4">
        <v>169</v>
      </c>
      <c r="M63" s="4">
        <v>10.987622149837099</v>
      </c>
      <c r="N63" s="23">
        <f>MAINTABLE[[#This Row],[Total Recovered Cases]]/MAINTABLE[[#This Row],[Confirmed Cases]]*100</f>
        <v>25.135114006514659</v>
      </c>
      <c r="O63" s="22">
        <f>MAINTABLE[[#This Row],[Total Deaths]]/MAINTABLE[[#This Row],[Confirmed Cases]]</f>
        <v>4.3642996742671011E-2</v>
      </c>
      <c r="P63" s="22" t="str">
        <f>IF(MAINTABLE[[#This Row],[New cases]]&gt;$U$4,"YES","NO")</f>
        <v>NO</v>
      </c>
    </row>
    <row r="64" spans="1:16" x14ac:dyDescent="0.35">
      <c r="A64" s="1">
        <v>43914</v>
      </c>
      <c r="B64" s="3">
        <v>424889</v>
      </c>
      <c r="C64" s="3">
        <v>19016</v>
      </c>
      <c r="D64" s="3">
        <v>105997</v>
      </c>
      <c r="E64" s="3">
        <v>299876</v>
      </c>
      <c r="F64" s="3">
        <v>41154</v>
      </c>
      <c r="G64" s="3">
        <v>2268</v>
      </c>
      <c r="H64" s="3">
        <v>9541</v>
      </c>
      <c r="I64" s="3">
        <v>4</v>
      </c>
      <c r="J64" s="3">
        <v>25</v>
      </c>
      <c r="K64" s="3">
        <v>18</v>
      </c>
      <c r="L64" s="3">
        <v>171</v>
      </c>
      <c r="M64" s="3">
        <v>9.6858238269289192</v>
      </c>
      <c r="N64" s="23">
        <f>MAINTABLE[[#This Row],[Total Recovered Cases]]/MAINTABLE[[#This Row],[Confirmed Cases]]*100</f>
        <v>24.946986154030817</v>
      </c>
      <c r="O64" s="22">
        <f>MAINTABLE[[#This Row],[Total Deaths]]/MAINTABLE[[#This Row],[Confirmed Cases]]</f>
        <v>4.4755218421752507E-2</v>
      </c>
      <c r="P64" s="22" t="str">
        <f>IF(MAINTABLE[[#This Row],[New cases]]&gt;$U$4,"YES","NO")</f>
        <v>NO</v>
      </c>
    </row>
    <row r="65" spans="1:16" x14ac:dyDescent="0.35">
      <c r="A65" s="1">
        <v>43915</v>
      </c>
      <c r="B65" s="4">
        <v>475706</v>
      </c>
      <c r="C65" s="4">
        <v>21793</v>
      </c>
      <c r="D65" s="4">
        <v>111445</v>
      </c>
      <c r="E65" s="4">
        <v>342468</v>
      </c>
      <c r="F65" s="4">
        <v>50817</v>
      </c>
      <c r="G65" s="4">
        <v>2777</v>
      </c>
      <c r="H65" s="4">
        <v>5448</v>
      </c>
      <c r="I65" s="4">
        <v>5</v>
      </c>
      <c r="J65" s="4">
        <v>23</v>
      </c>
      <c r="K65" s="4">
        <v>20</v>
      </c>
      <c r="L65" s="4">
        <v>174</v>
      </c>
      <c r="M65" s="4">
        <v>10.6824383127394</v>
      </c>
      <c r="N65" s="23">
        <f>MAINTABLE[[#This Row],[Total Recovered Cases]]/MAINTABLE[[#This Row],[Confirmed Cases]]*100</f>
        <v>23.42728491967728</v>
      </c>
      <c r="O65" s="22">
        <f>MAINTABLE[[#This Row],[Total Deaths]]/MAINTABLE[[#This Row],[Confirmed Cases]]</f>
        <v>4.5811909036253484E-2</v>
      </c>
      <c r="P65" s="22" t="str">
        <f>IF(MAINTABLE[[#This Row],[New cases]]&gt;$U$4,"YES","NO")</f>
        <v>NO</v>
      </c>
    </row>
    <row r="66" spans="1:16" x14ac:dyDescent="0.35">
      <c r="A66" s="1">
        <v>43916</v>
      </c>
      <c r="B66" s="3">
        <v>538666</v>
      </c>
      <c r="C66" s="3">
        <v>24800</v>
      </c>
      <c r="D66" s="3">
        <v>119804</v>
      </c>
      <c r="E66" s="3">
        <v>394062</v>
      </c>
      <c r="F66" s="3">
        <v>62960</v>
      </c>
      <c r="G66" s="3">
        <v>3007</v>
      </c>
      <c r="H66" s="3">
        <v>8359</v>
      </c>
      <c r="I66" s="3">
        <v>5</v>
      </c>
      <c r="J66" s="3">
        <v>22</v>
      </c>
      <c r="K66" s="3">
        <v>21</v>
      </c>
      <c r="L66" s="3">
        <v>175</v>
      </c>
      <c r="M66" s="3">
        <v>11.6881332773927</v>
      </c>
      <c r="N66" s="23">
        <f>MAINTABLE[[#This Row],[Total Recovered Cases]]/MAINTABLE[[#This Row],[Confirmed Cases]]*100</f>
        <v>22.240869109986523</v>
      </c>
      <c r="O66" s="22">
        <f>MAINTABLE[[#This Row],[Total Deaths]]/MAINTABLE[[#This Row],[Confirmed Cases]]</f>
        <v>4.6039660940174428E-2</v>
      </c>
      <c r="P66" s="22" t="str">
        <f>IF(MAINTABLE[[#This Row],[New cases]]&gt;$U$4,"YES","NO")</f>
        <v>NO</v>
      </c>
    </row>
    <row r="67" spans="1:16" x14ac:dyDescent="0.35">
      <c r="A67" s="1">
        <v>43917</v>
      </c>
      <c r="B67" s="4">
        <v>603066</v>
      </c>
      <c r="C67" s="4">
        <v>28318</v>
      </c>
      <c r="D67" s="4">
        <v>128508</v>
      </c>
      <c r="E67" s="4">
        <v>446240</v>
      </c>
      <c r="F67" s="4">
        <v>64400</v>
      </c>
      <c r="G67" s="4">
        <v>3518</v>
      </c>
      <c r="H67" s="4">
        <v>8704</v>
      </c>
      <c r="I67" s="4">
        <v>5</v>
      </c>
      <c r="J67" s="4">
        <v>21</v>
      </c>
      <c r="K67" s="4">
        <v>22</v>
      </c>
      <c r="L67" s="4">
        <v>176</v>
      </c>
      <c r="M67" s="4">
        <v>10.6787648449755</v>
      </c>
      <c r="N67" s="23">
        <f>MAINTABLE[[#This Row],[Total Recovered Cases]]/MAINTABLE[[#This Row],[Confirmed Cases]]*100</f>
        <v>21.309110445622867</v>
      </c>
      <c r="O67" s="22">
        <f>MAINTABLE[[#This Row],[Total Deaths]]/MAINTABLE[[#This Row],[Confirmed Cases]]</f>
        <v>4.6956717838511873E-2</v>
      </c>
      <c r="P67" s="22" t="str">
        <f>IF(MAINTABLE[[#This Row],[New cases]]&gt;$U$4,"YES","NO")</f>
        <v>NO</v>
      </c>
    </row>
    <row r="68" spans="1:16" x14ac:dyDescent="0.35">
      <c r="A68" s="1">
        <v>43918</v>
      </c>
      <c r="B68" s="3">
        <v>670723</v>
      </c>
      <c r="C68" s="3">
        <v>31997</v>
      </c>
      <c r="D68" s="3">
        <v>136800</v>
      </c>
      <c r="E68" s="3">
        <v>501926</v>
      </c>
      <c r="F68" s="3">
        <v>67657</v>
      </c>
      <c r="G68" s="3">
        <v>3679</v>
      </c>
      <c r="H68" s="3">
        <v>8292</v>
      </c>
      <c r="I68" s="3">
        <v>5</v>
      </c>
      <c r="J68" s="3">
        <v>20</v>
      </c>
      <c r="K68" s="3">
        <v>23</v>
      </c>
      <c r="L68" s="3">
        <v>176</v>
      </c>
      <c r="M68" s="3">
        <v>10.0871745862301</v>
      </c>
      <c r="N68" s="23">
        <f>MAINTABLE[[#This Row],[Total Recovered Cases]]/MAINTABLE[[#This Row],[Confirmed Cases]]*100</f>
        <v>20.39590113951661</v>
      </c>
      <c r="O68" s="22">
        <f>MAINTABLE[[#This Row],[Total Deaths]]/MAINTABLE[[#This Row],[Confirmed Cases]]</f>
        <v>4.7705237482537501E-2</v>
      </c>
      <c r="P68" s="22" t="str">
        <f>IF(MAINTABLE[[#This Row],[New cases]]&gt;$U$4,"YES","NO")</f>
        <v>NO</v>
      </c>
    </row>
    <row r="69" spans="1:16" x14ac:dyDescent="0.35">
      <c r="A69" s="1">
        <v>43919</v>
      </c>
      <c r="B69" s="4">
        <v>730300</v>
      </c>
      <c r="C69" s="4">
        <v>35470</v>
      </c>
      <c r="D69" s="4">
        <v>146261</v>
      </c>
      <c r="E69" s="4">
        <v>548569</v>
      </c>
      <c r="F69" s="4">
        <v>59577</v>
      </c>
      <c r="G69" s="4">
        <v>3473</v>
      </c>
      <c r="H69" s="4">
        <v>9461</v>
      </c>
      <c r="I69" s="4">
        <v>5</v>
      </c>
      <c r="J69" s="4">
        <v>20</v>
      </c>
      <c r="K69" s="4">
        <v>24</v>
      </c>
      <c r="L69" s="4">
        <v>176</v>
      </c>
      <c r="M69" s="4">
        <v>8.1578803231548704</v>
      </c>
      <c r="N69" s="23">
        <f>MAINTABLE[[#This Row],[Total Recovered Cases]]/MAINTABLE[[#This Row],[Confirmed Cases]]*100</f>
        <v>20.027522935779814</v>
      </c>
      <c r="O69" s="22">
        <f>MAINTABLE[[#This Row],[Total Deaths]]/MAINTABLE[[#This Row],[Confirmed Cases]]</f>
        <v>4.856908119950705E-2</v>
      </c>
      <c r="P69" s="22" t="str">
        <f>IF(MAINTABLE[[#This Row],[New cases]]&gt;$U$4,"YES","NO")</f>
        <v>NO</v>
      </c>
    </row>
    <row r="70" spans="1:16" x14ac:dyDescent="0.35">
      <c r="A70" s="1">
        <v>43920</v>
      </c>
      <c r="B70" s="3">
        <v>794939</v>
      </c>
      <c r="C70" s="3">
        <v>39634</v>
      </c>
      <c r="D70" s="3">
        <v>161707</v>
      </c>
      <c r="E70" s="3">
        <v>593598</v>
      </c>
      <c r="F70" s="3">
        <v>64639</v>
      </c>
      <c r="G70" s="3">
        <v>4164</v>
      </c>
      <c r="H70" s="3">
        <v>15446</v>
      </c>
      <c r="I70" s="3">
        <v>5</v>
      </c>
      <c r="J70" s="3">
        <v>20</v>
      </c>
      <c r="K70" s="3">
        <v>25</v>
      </c>
      <c r="L70" s="3">
        <v>177</v>
      </c>
      <c r="M70" s="3">
        <v>8.1313157361759796</v>
      </c>
      <c r="N70" s="23">
        <f>MAINTABLE[[#This Row],[Total Recovered Cases]]/MAINTABLE[[#This Row],[Confirmed Cases]]*100</f>
        <v>20.34206398226782</v>
      </c>
      <c r="O70" s="22">
        <f>MAINTABLE[[#This Row],[Total Deaths]]/MAINTABLE[[#This Row],[Confirmed Cases]]</f>
        <v>4.9857913626076972E-2</v>
      </c>
      <c r="P70" s="22" t="str">
        <f>IF(MAINTABLE[[#This Row],[New cases]]&gt;$U$4,"YES","NO")</f>
        <v>NO</v>
      </c>
    </row>
    <row r="71" spans="1:16" x14ac:dyDescent="0.35">
      <c r="A71" s="1">
        <v>43921</v>
      </c>
      <c r="B71" s="4">
        <v>871355</v>
      </c>
      <c r="C71" s="4">
        <v>44478</v>
      </c>
      <c r="D71" s="4">
        <v>174074</v>
      </c>
      <c r="E71" s="4">
        <v>652803</v>
      </c>
      <c r="F71" s="4">
        <v>76416</v>
      </c>
      <c r="G71" s="4">
        <v>4844</v>
      </c>
      <c r="H71" s="4">
        <v>12367</v>
      </c>
      <c r="I71" s="4">
        <v>5</v>
      </c>
      <c r="J71" s="4">
        <v>20</v>
      </c>
      <c r="K71" s="4">
        <v>26</v>
      </c>
      <c r="L71" s="4">
        <v>179</v>
      </c>
      <c r="M71" s="4">
        <v>8.7697895805957398</v>
      </c>
      <c r="N71" s="23">
        <f>MAINTABLE[[#This Row],[Total Recovered Cases]]/MAINTABLE[[#This Row],[Confirmed Cases]]*100</f>
        <v>19.977391533875402</v>
      </c>
      <c r="O71" s="22">
        <f>MAINTABLE[[#This Row],[Total Deaths]]/MAINTABLE[[#This Row],[Confirmed Cases]]</f>
        <v>5.1044637375122652E-2</v>
      </c>
      <c r="P71" s="22" t="str">
        <f>IF(MAINTABLE[[#This Row],[New cases]]&gt;$U$4,"YES","NO")</f>
        <v>NO</v>
      </c>
    </row>
    <row r="72" spans="1:16" x14ac:dyDescent="0.35">
      <c r="A72" s="1">
        <v>43922</v>
      </c>
      <c r="B72" s="3">
        <v>947569</v>
      </c>
      <c r="C72" s="3">
        <v>50029</v>
      </c>
      <c r="D72" s="3">
        <v>189434</v>
      </c>
      <c r="E72" s="3">
        <v>708106</v>
      </c>
      <c r="F72" s="3">
        <v>76214</v>
      </c>
      <c r="G72" s="3">
        <v>5551</v>
      </c>
      <c r="H72" s="3">
        <v>15360</v>
      </c>
      <c r="I72" s="3">
        <v>5</v>
      </c>
      <c r="J72" s="3">
        <v>20</v>
      </c>
      <c r="K72" s="3">
        <v>26</v>
      </c>
      <c r="L72" s="3">
        <v>179</v>
      </c>
      <c r="M72" s="3">
        <v>8.0431082063680908</v>
      </c>
      <c r="N72" s="23">
        <f>MAINTABLE[[#This Row],[Total Recovered Cases]]/MAINTABLE[[#This Row],[Confirmed Cases]]*100</f>
        <v>19.991578449696014</v>
      </c>
      <c r="O72" s="22">
        <f>MAINTABLE[[#This Row],[Total Deaths]]/MAINTABLE[[#This Row],[Confirmed Cases]]</f>
        <v>5.2797210546144925E-2</v>
      </c>
      <c r="P72" s="22" t="str">
        <f>IF(MAINTABLE[[#This Row],[New cases]]&gt;$U$4,"YES","NO")</f>
        <v>NO</v>
      </c>
    </row>
    <row r="73" spans="1:16" x14ac:dyDescent="0.35">
      <c r="A73" s="1">
        <v>43923</v>
      </c>
      <c r="B73" s="4">
        <v>1028968</v>
      </c>
      <c r="C73" s="4">
        <v>56334</v>
      </c>
      <c r="D73" s="4">
        <v>206052</v>
      </c>
      <c r="E73" s="4">
        <v>766582</v>
      </c>
      <c r="F73" s="4">
        <v>81399</v>
      </c>
      <c r="G73" s="4">
        <v>6305</v>
      </c>
      <c r="H73" s="4">
        <v>16618</v>
      </c>
      <c r="I73" s="4">
        <v>5</v>
      </c>
      <c r="J73" s="4">
        <v>20</v>
      </c>
      <c r="K73" s="4">
        <v>27</v>
      </c>
      <c r="L73" s="4">
        <v>180</v>
      </c>
      <c r="M73" s="4">
        <v>7.9107416362802399</v>
      </c>
      <c r="N73" s="23">
        <f>MAINTABLE[[#This Row],[Total Recovered Cases]]/MAINTABLE[[#This Row],[Confirmed Cases]]*100</f>
        <v>20.025112539942931</v>
      </c>
      <c r="O73" s="22">
        <f>MAINTABLE[[#This Row],[Total Deaths]]/MAINTABLE[[#This Row],[Confirmed Cases]]</f>
        <v>5.4748058248653017E-2</v>
      </c>
      <c r="P73" s="22" t="str">
        <f>IF(MAINTABLE[[#This Row],[New cases]]&gt;$U$4,"YES","NO")</f>
        <v>NO</v>
      </c>
    </row>
    <row r="74" spans="1:16" x14ac:dyDescent="0.35">
      <c r="A74" s="1">
        <v>43924</v>
      </c>
      <c r="B74" s="3">
        <v>1112123</v>
      </c>
      <c r="C74" s="3">
        <v>62319</v>
      </c>
      <c r="D74" s="3">
        <v>221060</v>
      </c>
      <c r="E74" s="3">
        <v>828744</v>
      </c>
      <c r="F74" s="3">
        <v>83155</v>
      </c>
      <c r="G74" s="3">
        <v>5985</v>
      </c>
      <c r="H74" s="3">
        <v>15008</v>
      </c>
      <c r="I74" s="3">
        <v>6</v>
      </c>
      <c r="J74" s="3">
        <v>20</v>
      </c>
      <c r="K74" s="3">
        <v>28</v>
      </c>
      <c r="L74" s="3">
        <v>180</v>
      </c>
      <c r="M74" s="3">
        <v>7.4771405680846401</v>
      </c>
      <c r="N74" s="23">
        <f>MAINTABLE[[#This Row],[Total Recovered Cases]]/MAINTABLE[[#This Row],[Confirmed Cases]]*100</f>
        <v>19.877297744943682</v>
      </c>
      <c r="O74" s="22">
        <f>MAINTABLE[[#This Row],[Total Deaths]]/MAINTABLE[[#This Row],[Confirmed Cases]]</f>
        <v>5.6036067952915283E-2</v>
      </c>
      <c r="P74" s="22" t="str">
        <f>IF(MAINTABLE[[#This Row],[New cases]]&gt;$U$4,"YES","NO")</f>
        <v>NO</v>
      </c>
    </row>
    <row r="75" spans="1:16" x14ac:dyDescent="0.35">
      <c r="A75" s="1">
        <v>43925</v>
      </c>
      <c r="B75" s="4">
        <v>1192586</v>
      </c>
      <c r="C75" s="4">
        <v>68160</v>
      </c>
      <c r="D75" s="4">
        <v>241072</v>
      </c>
      <c r="E75" s="4">
        <v>883354</v>
      </c>
      <c r="F75" s="4">
        <v>80463</v>
      </c>
      <c r="G75" s="4">
        <v>5841</v>
      </c>
      <c r="H75" s="4">
        <v>20012</v>
      </c>
      <c r="I75" s="4">
        <v>6</v>
      </c>
      <c r="J75" s="4">
        <v>20</v>
      </c>
      <c r="K75" s="4">
        <v>28</v>
      </c>
      <c r="L75" s="4">
        <v>180</v>
      </c>
      <c r="M75" s="4">
        <v>6.7469348122483401</v>
      </c>
      <c r="N75" s="23">
        <f>MAINTABLE[[#This Row],[Total Recovered Cases]]/MAINTABLE[[#This Row],[Confirmed Cases]]*100</f>
        <v>20.214223544465558</v>
      </c>
      <c r="O75" s="22">
        <f>MAINTABLE[[#This Row],[Total Deaths]]/MAINTABLE[[#This Row],[Confirmed Cases]]</f>
        <v>5.7153110970613437E-2</v>
      </c>
      <c r="P75" s="22" t="str">
        <f>IF(MAINTABLE[[#This Row],[New cases]]&gt;$U$4,"YES","NO")</f>
        <v>NO</v>
      </c>
    </row>
    <row r="76" spans="1:16" x14ac:dyDescent="0.35">
      <c r="A76" s="1">
        <v>43926</v>
      </c>
      <c r="B76" s="3">
        <v>1264304</v>
      </c>
      <c r="C76" s="3">
        <v>73181</v>
      </c>
      <c r="D76" s="3">
        <v>254477</v>
      </c>
      <c r="E76" s="3">
        <v>936646</v>
      </c>
      <c r="F76" s="3">
        <v>71718</v>
      </c>
      <c r="G76" s="3">
        <v>5021</v>
      </c>
      <c r="H76" s="3">
        <v>13405</v>
      </c>
      <c r="I76" s="3">
        <v>6</v>
      </c>
      <c r="J76" s="3">
        <v>20</v>
      </c>
      <c r="K76" s="3">
        <v>29</v>
      </c>
      <c r="L76" s="3">
        <v>182</v>
      </c>
      <c r="M76" s="3">
        <v>5.6725281261468803</v>
      </c>
      <c r="N76" s="23">
        <f>MAINTABLE[[#This Row],[Total Recovered Cases]]/MAINTABLE[[#This Row],[Confirmed Cases]]*100</f>
        <v>20.127833179361925</v>
      </c>
      <c r="O76" s="22">
        <f>MAINTABLE[[#This Row],[Total Deaths]]/MAINTABLE[[#This Row],[Confirmed Cases]]</f>
        <v>5.7882439666409345E-2</v>
      </c>
      <c r="P76" s="22" t="str">
        <f>IF(MAINTABLE[[#This Row],[New cases]]&gt;$U$4,"YES","NO")</f>
        <v>NO</v>
      </c>
    </row>
    <row r="77" spans="1:16" x14ac:dyDescent="0.35">
      <c r="A77" s="1">
        <v>43927</v>
      </c>
      <c r="B77" s="4">
        <v>1336976</v>
      </c>
      <c r="C77" s="4">
        <v>79013</v>
      </c>
      <c r="D77" s="4">
        <v>270812</v>
      </c>
      <c r="E77" s="4">
        <v>987151</v>
      </c>
      <c r="F77" s="4">
        <v>72672</v>
      </c>
      <c r="G77" s="4">
        <v>5832</v>
      </c>
      <c r="H77" s="4">
        <v>16335</v>
      </c>
      <c r="I77" s="4">
        <v>6</v>
      </c>
      <c r="J77" s="4">
        <v>20</v>
      </c>
      <c r="K77" s="4">
        <v>29</v>
      </c>
      <c r="L77" s="4">
        <v>183</v>
      </c>
      <c r="M77" s="4">
        <v>5.4355500771891201</v>
      </c>
      <c r="N77" s="23">
        <f>MAINTABLE[[#This Row],[Total Recovered Cases]]/MAINTABLE[[#This Row],[Confirmed Cases]]*100</f>
        <v>20.255561805148332</v>
      </c>
      <c r="O77" s="22">
        <f>MAINTABLE[[#This Row],[Total Deaths]]/MAINTABLE[[#This Row],[Confirmed Cases]]</f>
        <v>5.9098293462261101E-2</v>
      </c>
      <c r="P77" s="22" t="str">
        <f>IF(MAINTABLE[[#This Row],[New cases]]&gt;$U$4,"YES","NO")</f>
        <v>NO</v>
      </c>
    </row>
    <row r="78" spans="1:16" x14ac:dyDescent="0.35">
      <c r="A78" s="1">
        <v>43928</v>
      </c>
      <c r="B78" s="3">
        <v>1413849</v>
      </c>
      <c r="C78" s="3">
        <v>86915</v>
      </c>
      <c r="D78" s="3">
        <v>293665</v>
      </c>
      <c r="E78" s="3">
        <v>1033269</v>
      </c>
      <c r="F78" s="3">
        <v>76873</v>
      </c>
      <c r="G78" s="3">
        <v>7902</v>
      </c>
      <c r="H78" s="3">
        <v>22853</v>
      </c>
      <c r="I78" s="3">
        <v>6</v>
      </c>
      <c r="J78" s="3">
        <v>21</v>
      </c>
      <c r="K78" s="3">
        <v>30</v>
      </c>
      <c r="L78" s="3">
        <v>183</v>
      </c>
      <c r="M78" s="3">
        <v>5.43714357049444</v>
      </c>
      <c r="N78" s="23">
        <f>MAINTABLE[[#This Row],[Total Recovered Cases]]/MAINTABLE[[#This Row],[Confirmed Cases]]*100</f>
        <v>20.770605630445687</v>
      </c>
      <c r="O78" s="22">
        <f>MAINTABLE[[#This Row],[Total Deaths]]/MAINTABLE[[#This Row],[Confirmed Cases]]</f>
        <v>6.147403294128298E-2</v>
      </c>
      <c r="P78" s="22" t="str">
        <f>IF(MAINTABLE[[#This Row],[New cases]]&gt;$U$4,"YES","NO")</f>
        <v>NO</v>
      </c>
    </row>
    <row r="79" spans="1:16" x14ac:dyDescent="0.35">
      <c r="A79" s="1">
        <v>43929</v>
      </c>
      <c r="B79" s="4">
        <v>1497624</v>
      </c>
      <c r="C79" s="4">
        <v>93650</v>
      </c>
      <c r="D79" s="4">
        <v>322017</v>
      </c>
      <c r="E79" s="4">
        <v>1081957</v>
      </c>
      <c r="F79" s="4">
        <v>83775</v>
      </c>
      <c r="G79" s="4">
        <v>6735</v>
      </c>
      <c r="H79" s="4">
        <v>28352</v>
      </c>
      <c r="I79" s="4">
        <v>6</v>
      </c>
      <c r="J79" s="4">
        <v>22</v>
      </c>
      <c r="K79" s="4">
        <v>29</v>
      </c>
      <c r="L79" s="4">
        <v>183</v>
      </c>
      <c r="M79" s="4">
        <v>5.5938606753096902</v>
      </c>
      <c r="N79" s="23">
        <f>MAINTABLE[[#This Row],[Total Recovered Cases]]/MAINTABLE[[#This Row],[Confirmed Cases]]*100</f>
        <v>21.501858944568198</v>
      </c>
      <c r="O79" s="22">
        <f>MAINTABLE[[#This Row],[Total Deaths]]/MAINTABLE[[#This Row],[Confirmed Cases]]</f>
        <v>6.2532384630588189E-2</v>
      </c>
      <c r="P79" s="22" t="str">
        <f>IF(MAINTABLE[[#This Row],[New cases]]&gt;$U$4,"YES","NO")</f>
        <v>NO</v>
      </c>
    </row>
    <row r="80" spans="1:16" x14ac:dyDescent="0.35">
      <c r="A80" s="1">
        <v>43930</v>
      </c>
      <c r="B80" s="3">
        <v>1584249</v>
      </c>
      <c r="C80" s="3">
        <v>101279</v>
      </c>
      <c r="D80" s="3">
        <v>346349</v>
      </c>
      <c r="E80" s="3">
        <v>1136621</v>
      </c>
      <c r="F80" s="3">
        <v>86625</v>
      </c>
      <c r="G80" s="3">
        <v>7629</v>
      </c>
      <c r="H80" s="3">
        <v>24332</v>
      </c>
      <c r="I80" s="3">
        <v>6</v>
      </c>
      <c r="J80" s="3">
        <v>22</v>
      </c>
      <c r="K80" s="3">
        <v>29</v>
      </c>
      <c r="L80" s="3">
        <v>183</v>
      </c>
      <c r="M80" s="3">
        <v>5.4678904641884003</v>
      </c>
      <c r="N80" s="23">
        <f>MAINTABLE[[#This Row],[Total Recovered Cases]]/MAINTABLE[[#This Row],[Confirmed Cases]]*100</f>
        <v>21.86203052676694</v>
      </c>
      <c r="O80" s="22">
        <f>MAINTABLE[[#This Row],[Total Deaths]]/MAINTABLE[[#This Row],[Confirmed Cases]]</f>
        <v>6.3928713226266837E-2</v>
      </c>
      <c r="P80" s="22" t="str">
        <f>IF(MAINTABLE[[#This Row],[New cases]]&gt;$U$4,"YES","NO")</f>
        <v>NO</v>
      </c>
    </row>
    <row r="81" spans="1:16" x14ac:dyDescent="0.35">
      <c r="A81" s="1">
        <v>43931</v>
      </c>
      <c r="B81" s="4">
        <v>1671907</v>
      </c>
      <c r="C81" s="4">
        <v>108551</v>
      </c>
      <c r="D81" s="4">
        <v>367477</v>
      </c>
      <c r="E81" s="4">
        <v>1195879</v>
      </c>
      <c r="F81" s="4">
        <v>87658</v>
      </c>
      <c r="G81" s="4">
        <v>7272</v>
      </c>
      <c r="H81" s="4">
        <v>21128</v>
      </c>
      <c r="I81" s="4">
        <v>6</v>
      </c>
      <c r="J81" s="4">
        <v>22</v>
      </c>
      <c r="K81" s="4">
        <v>30</v>
      </c>
      <c r="L81" s="4">
        <v>184</v>
      </c>
      <c r="M81" s="4">
        <v>5.2429949751989797</v>
      </c>
      <c r="N81" s="23">
        <f>MAINTABLE[[#This Row],[Total Recovered Cases]]/MAINTABLE[[#This Row],[Confirmed Cases]]*100</f>
        <v>21.979512018312022</v>
      </c>
      <c r="O81" s="22">
        <f>MAINTABLE[[#This Row],[Total Deaths]]/MAINTABLE[[#This Row],[Confirmed Cases]]</f>
        <v>6.4926458230033124E-2</v>
      </c>
      <c r="P81" s="22" t="str">
        <f>IF(MAINTABLE[[#This Row],[New cases]]&gt;$U$4,"YES","NO")</f>
        <v>NO</v>
      </c>
    </row>
    <row r="82" spans="1:16" x14ac:dyDescent="0.35">
      <c r="A82" s="1">
        <v>43932</v>
      </c>
      <c r="B82" s="3">
        <v>1748872</v>
      </c>
      <c r="C82" s="3">
        <v>114620</v>
      </c>
      <c r="D82" s="3">
        <v>392991</v>
      </c>
      <c r="E82" s="3">
        <v>1241261</v>
      </c>
      <c r="F82" s="3">
        <v>76965</v>
      </c>
      <c r="G82" s="3">
        <v>6069</v>
      </c>
      <c r="H82" s="3">
        <v>25514</v>
      </c>
      <c r="I82" s="3">
        <v>7</v>
      </c>
      <c r="J82" s="3">
        <v>22</v>
      </c>
      <c r="K82" s="3">
        <v>29</v>
      </c>
      <c r="L82" s="3">
        <v>184</v>
      </c>
      <c r="M82" s="3">
        <v>4.4008366535686996</v>
      </c>
      <c r="N82" s="23">
        <f>MAINTABLE[[#This Row],[Total Recovered Cases]]/MAINTABLE[[#This Row],[Confirmed Cases]]*100</f>
        <v>22.471112808713272</v>
      </c>
      <c r="O82" s="22">
        <f>MAINTABLE[[#This Row],[Total Deaths]]/MAINTABLE[[#This Row],[Confirmed Cases]]</f>
        <v>6.5539387673883509E-2</v>
      </c>
      <c r="P82" s="22" t="str">
        <f>IF(MAINTABLE[[#This Row],[New cases]]&gt;$U$4,"YES","NO")</f>
        <v>NO</v>
      </c>
    </row>
    <row r="83" spans="1:16" x14ac:dyDescent="0.35">
      <c r="A83" s="1">
        <v>43933</v>
      </c>
      <c r="B83" s="4">
        <v>1845653</v>
      </c>
      <c r="C83" s="4">
        <v>120351</v>
      </c>
      <c r="D83" s="4">
        <v>411864</v>
      </c>
      <c r="E83" s="4">
        <v>1313438</v>
      </c>
      <c r="F83" s="4">
        <v>96802</v>
      </c>
      <c r="G83" s="4">
        <v>5731</v>
      </c>
      <c r="H83" s="4">
        <v>18873</v>
      </c>
      <c r="I83" s="4">
        <v>7</v>
      </c>
      <c r="J83" s="4">
        <v>22</v>
      </c>
      <c r="K83" s="4">
        <v>29</v>
      </c>
      <c r="L83" s="4">
        <v>184</v>
      </c>
      <c r="M83" s="4">
        <v>5.2448645547131596</v>
      </c>
      <c r="N83" s="23">
        <f>MAINTABLE[[#This Row],[Total Recovered Cases]]/MAINTABLE[[#This Row],[Confirmed Cases]]*100</f>
        <v>22.315353969570662</v>
      </c>
      <c r="O83" s="22">
        <f>MAINTABLE[[#This Row],[Total Deaths]]/MAINTABLE[[#This Row],[Confirmed Cases]]</f>
        <v>6.5207815336902439E-2</v>
      </c>
      <c r="P83" s="22" t="str">
        <f>IF(MAINTABLE[[#This Row],[New cases]]&gt;$U$4,"YES","NO")</f>
        <v>NO</v>
      </c>
    </row>
    <row r="84" spans="1:16" x14ac:dyDescent="0.35">
      <c r="A84" s="1">
        <v>43934</v>
      </c>
      <c r="B84" s="3">
        <v>1915247</v>
      </c>
      <c r="C84" s="3">
        <v>126098</v>
      </c>
      <c r="D84" s="3">
        <v>438395</v>
      </c>
      <c r="E84" s="3">
        <v>1350754</v>
      </c>
      <c r="F84" s="3">
        <v>69594</v>
      </c>
      <c r="G84" s="3">
        <v>5747</v>
      </c>
      <c r="H84" s="3">
        <v>26531</v>
      </c>
      <c r="I84" s="3">
        <v>7</v>
      </c>
      <c r="J84" s="3">
        <v>23</v>
      </c>
      <c r="K84" s="3">
        <v>29</v>
      </c>
      <c r="L84" s="3">
        <v>184</v>
      </c>
      <c r="M84" s="3">
        <v>3.6336827573675898</v>
      </c>
      <c r="N84" s="23">
        <f>MAINTABLE[[#This Row],[Total Recovered Cases]]/MAINTABLE[[#This Row],[Confirmed Cases]]*100</f>
        <v>22.889736937324535</v>
      </c>
      <c r="O84" s="22">
        <f>MAINTABLE[[#This Row],[Total Deaths]]/MAINTABLE[[#This Row],[Confirmed Cases]]</f>
        <v>6.5839027551015616E-2</v>
      </c>
      <c r="P84" s="22" t="str">
        <f>IF(MAINTABLE[[#This Row],[New cases]]&gt;$U$4,"YES","NO")</f>
        <v>NO</v>
      </c>
    </row>
    <row r="85" spans="1:16" x14ac:dyDescent="0.35">
      <c r="A85" s="1">
        <v>43935</v>
      </c>
      <c r="B85" s="4">
        <v>1985174</v>
      </c>
      <c r="C85" s="4">
        <v>132996</v>
      </c>
      <c r="D85" s="4">
        <v>463014</v>
      </c>
      <c r="E85" s="4">
        <v>1389164</v>
      </c>
      <c r="F85" s="4">
        <v>69927</v>
      </c>
      <c r="G85" s="4">
        <v>6898</v>
      </c>
      <c r="H85" s="4">
        <v>24619</v>
      </c>
      <c r="I85" s="4">
        <v>7</v>
      </c>
      <c r="J85" s="4">
        <v>23</v>
      </c>
      <c r="K85" s="4">
        <v>29</v>
      </c>
      <c r="L85" s="4">
        <v>184</v>
      </c>
      <c r="M85" s="4">
        <v>3.5224620108867</v>
      </c>
      <c r="N85" s="23">
        <f>MAINTABLE[[#This Row],[Total Recovered Cases]]/MAINTABLE[[#This Row],[Confirmed Cases]]*100</f>
        <v>23.32359783071912</v>
      </c>
      <c r="O85" s="22">
        <f>MAINTABLE[[#This Row],[Total Deaths]]/MAINTABLE[[#This Row],[Confirmed Cases]]</f>
        <v>6.699463120109371E-2</v>
      </c>
      <c r="P85" s="22" t="str">
        <f>IF(MAINTABLE[[#This Row],[New cases]]&gt;$U$4,"YES","NO")</f>
        <v>NO</v>
      </c>
    </row>
    <row r="86" spans="1:16" x14ac:dyDescent="0.35">
      <c r="A86" s="1">
        <v>43936</v>
      </c>
      <c r="B86" s="3">
        <v>2066003</v>
      </c>
      <c r="C86" s="3">
        <v>141308</v>
      </c>
      <c r="D86" s="3">
        <v>498925</v>
      </c>
      <c r="E86" s="3">
        <v>1425770</v>
      </c>
      <c r="F86" s="3">
        <v>80829</v>
      </c>
      <c r="G86" s="3">
        <v>8312</v>
      </c>
      <c r="H86" s="3">
        <v>35911</v>
      </c>
      <c r="I86" s="3">
        <v>7</v>
      </c>
      <c r="J86" s="3">
        <v>24</v>
      </c>
      <c r="K86" s="3">
        <v>28</v>
      </c>
      <c r="L86" s="3">
        <v>184</v>
      </c>
      <c r="M86" s="3">
        <v>3.9123370101592299</v>
      </c>
      <c r="N86" s="23">
        <f>MAINTABLE[[#This Row],[Total Recovered Cases]]/MAINTABLE[[#This Row],[Confirmed Cases]]*100</f>
        <v>24.149287295323386</v>
      </c>
      <c r="O86" s="22">
        <f>MAINTABLE[[#This Row],[Total Deaths]]/MAINTABLE[[#This Row],[Confirmed Cases]]</f>
        <v>6.8396802908805066E-2</v>
      </c>
      <c r="P86" s="22" t="str">
        <f>IF(MAINTABLE[[#This Row],[New cases]]&gt;$U$4,"YES","NO")</f>
        <v>NO</v>
      </c>
    </row>
    <row r="87" spans="1:16" x14ac:dyDescent="0.35">
      <c r="A87" s="1">
        <v>43937</v>
      </c>
      <c r="B87" s="4">
        <v>2162715</v>
      </c>
      <c r="C87" s="4">
        <v>148591</v>
      </c>
      <c r="D87" s="4">
        <v>529015</v>
      </c>
      <c r="E87" s="4">
        <v>1485109</v>
      </c>
      <c r="F87" s="4">
        <v>96712</v>
      </c>
      <c r="G87" s="4">
        <v>7283</v>
      </c>
      <c r="H87" s="4">
        <v>30090</v>
      </c>
      <c r="I87" s="4">
        <v>7</v>
      </c>
      <c r="J87" s="4">
        <v>24</v>
      </c>
      <c r="K87" s="4">
        <v>28</v>
      </c>
      <c r="L87" s="4">
        <v>184</v>
      </c>
      <c r="M87" s="4">
        <v>4.4717866200585803</v>
      </c>
      <c r="N87" s="23">
        <f>MAINTABLE[[#This Row],[Total Recovered Cases]]/MAINTABLE[[#This Row],[Confirmed Cases]]*100</f>
        <v>24.460689457464344</v>
      </c>
      <c r="O87" s="22">
        <f>MAINTABLE[[#This Row],[Total Deaths]]/MAINTABLE[[#This Row],[Confirmed Cases]]</f>
        <v>6.8705770293358115E-2</v>
      </c>
      <c r="P87" s="22" t="str">
        <f>IF(MAINTABLE[[#This Row],[New cases]]&gt;$U$4,"YES","NO")</f>
        <v>NO</v>
      </c>
    </row>
    <row r="88" spans="1:16" x14ac:dyDescent="0.35">
      <c r="A88" s="1">
        <v>43938</v>
      </c>
      <c r="B88" s="3">
        <v>2250439</v>
      </c>
      <c r="C88" s="3">
        <v>157481</v>
      </c>
      <c r="D88" s="3">
        <v>554287</v>
      </c>
      <c r="E88" s="3">
        <v>1538671</v>
      </c>
      <c r="F88" s="3">
        <v>87724</v>
      </c>
      <c r="G88" s="3">
        <v>8890</v>
      </c>
      <c r="H88" s="3">
        <v>25272</v>
      </c>
      <c r="I88" s="3">
        <v>7</v>
      </c>
      <c r="J88" s="3">
        <v>25</v>
      </c>
      <c r="K88" s="3">
        <v>28</v>
      </c>
      <c r="L88" s="3">
        <v>184</v>
      </c>
      <c r="M88" s="3">
        <v>3.8980838849664399</v>
      </c>
      <c r="N88" s="23">
        <f>MAINTABLE[[#This Row],[Total Recovered Cases]]/MAINTABLE[[#This Row],[Confirmed Cases]]*100</f>
        <v>24.630172157521265</v>
      </c>
      <c r="O88" s="22">
        <f>MAINTABLE[[#This Row],[Total Deaths]]/MAINTABLE[[#This Row],[Confirmed Cases]]</f>
        <v>6.997790208932568E-2</v>
      </c>
      <c r="P88" s="22" t="str">
        <f>IF(MAINTABLE[[#This Row],[New cases]]&gt;$U$4,"YES","NO")</f>
        <v>NO</v>
      </c>
    </row>
    <row r="89" spans="1:16" x14ac:dyDescent="0.35">
      <c r="A89" s="1">
        <v>43939</v>
      </c>
      <c r="B89" s="4">
        <v>2324396</v>
      </c>
      <c r="C89" s="4">
        <v>163952</v>
      </c>
      <c r="D89" s="4">
        <v>577789</v>
      </c>
      <c r="E89" s="4">
        <v>1582655</v>
      </c>
      <c r="F89" s="4">
        <v>73958</v>
      </c>
      <c r="G89" s="4">
        <v>6471</v>
      </c>
      <c r="H89" s="4">
        <v>23502</v>
      </c>
      <c r="I89" s="4">
        <v>7</v>
      </c>
      <c r="J89" s="4">
        <v>25</v>
      </c>
      <c r="K89" s="4">
        <v>28</v>
      </c>
      <c r="L89" s="4">
        <v>184</v>
      </c>
      <c r="M89" s="4">
        <v>3.1818158351674999</v>
      </c>
      <c r="N89" s="23">
        <f>MAINTABLE[[#This Row],[Total Recovered Cases]]/MAINTABLE[[#This Row],[Confirmed Cases]]*100</f>
        <v>24.857597414554146</v>
      </c>
      <c r="O89" s="22">
        <f>MAINTABLE[[#This Row],[Total Deaths]]/MAINTABLE[[#This Row],[Confirmed Cases]]</f>
        <v>7.0535313259874818E-2</v>
      </c>
      <c r="P89" s="22" t="str">
        <f>IF(MAINTABLE[[#This Row],[New cases]]&gt;$U$4,"YES","NO")</f>
        <v>NO</v>
      </c>
    </row>
    <row r="90" spans="1:16" x14ac:dyDescent="0.35">
      <c r="A90" s="1">
        <v>43940</v>
      </c>
      <c r="B90" s="3">
        <v>2404919</v>
      </c>
      <c r="C90" s="3">
        <v>168522</v>
      </c>
      <c r="D90" s="3">
        <v>608557</v>
      </c>
      <c r="E90" s="3">
        <v>1627840</v>
      </c>
      <c r="F90" s="3">
        <v>80523</v>
      </c>
      <c r="G90" s="3">
        <v>4570</v>
      </c>
      <c r="H90" s="3">
        <v>30768</v>
      </c>
      <c r="I90" s="3">
        <v>7</v>
      </c>
      <c r="J90" s="3">
        <v>25</v>
      </c>
      <c r="K90" s="3">
        <v>28</v>
      </c>
      <c r="L90" s="3">
        <v>184</v>
      </c>
      <c r="M90" s="3">
        <v>3.34826245707236</v>
      </c>
      <c r="N90" s="23">
        <f>MAINTABLE[[#This Row],[Total Recovered Cases]]/MAINTABLE[[#This Row],[Confirmed Cases]]*100</f>
        <v>25.304677621158966</v>
      </c>
      <c r="O90" s="22">
        <f>MAINTABLE[[#This Row],[Total Deaths]]/MAINTABLE[[#This Row],[Confirmed Cases]]</f>
        <v>7.0073877748065533E-2</v>
      </c>
      <c r="P90" s="22" t="str">
        <f>IF(MAINTABLE[[#This Row],[New cases]]&gt;$U$4,"YES","NO")</f>
        <v>NO</v>
      </c>
    </row>
    <row r="91" spans="1:16" x14ac:dyDescent="0.35">
      <c r="A91" s="1">
        <v>43941</v>
      </c>
      <c r="B91" s="4">
        <v>2478258</v>
      </c>
      <c r="C91" s="4">
        <v>173965</v>
      </c>
      <c r="D91" s="4">
        <v>629862</v>
      </c>
      <c r="E91" s="4">
        <v>1674431</v>
      </c>
      <c r="F91" s="4">
        <v>73339</v>
      </c>
      <c r="G91" s="4">
        <v>5443</v>
      </c>
      <c r="H91" s="4">
        <v>21305</v>
      </c>
      <c r="I91" s="4">
        <v>7</v>
      </c>
      <c r="J91" s="4">
        <v>25</v>
      </c>
      <c r="K91" s="4">
        <v>28</v>
      </c>
      <c r="L91" s="4">
        <v>184</v>
      </c>
      <c r="M91" s="4">
        <v>2.9592964090098799</v>
      </c>
      <c r="N91" s="23">
        <f>MAINTABLE[[#This Row],[Total Recovered Cases]]/MAINTABLE[[#This Row],[Confirmed Cases]]*100</f>
        <v>25.415513639015792</v>
      </c>
      <c r="O91" s="22">
        <f>MAINTABLE[[#This Row],[Total Deaths]]/MAINTABLE[[#This Row],[Confirmed Cases]]</f>
        <v>7.0196484788912217E-2</v>
      </c>
      <c r="P91" s="22" t="str">
        <f>IF(MAINTABLE[[#This Row],[New cases]]&gt;$U$4,"YES","NO")</f>
        <v>NO</v>
      </c>
    </row>
    <row r="92" spans="1:16" x14ac:dyDescent="0.35">
      <c r="A92" s="1">
        <v>43942</v>
      </c>
      <c r="B92" s="3">
        <v>2553508</v>
      </c>
      <c r="C92" s="3">
        <v>181122</v>
      </c>
      <c r="D92" s="3">
        <v>664043</v>
      </c>
      <c r="E92" s="3">
        <v>1708343</v>
      </c>
      <c r="F92" s="3">
        <v>75250</v>
      </c>
      <c r="G92" s="3">
        <v>7157</v>
      </c>
      <c r="H92" s="3">
        <v>34181</v>
      </c>
      <c r="I92" s="3">
        <v>7</v>
      </c>
      <c r="J92" s="3">
        <v>26</v>
      </c>
      <c r="K92" s="3">
        <v>27</v>
      </c>
      <c r="L92" s="3">
        <v>184</v>
      </c>
      <c r="M92" s="3">
        <v>2.9469263460306401</v>
      </c>
      <c r="N92" s="23">
        <f>MAINTABLE[[#This Row],[Total Recovered Cases]]/MAINTABLE[[#This Row],[Confirmed Cases]]*100</f>
        <v>26.005127064414914</v>
      </c>
      <c r="O92" s="22">
        <f>MAINTABLE[[#This Row],[Total Deaths]]/MAINTABLE[[#This Row],[Confirmed Cases]]</f>
        <v>7.093065696289183E-2</v>
      </c>
      <c r="P92" s="22" t="str">
        <f>IF(MAINTABLE[[#This Row],[New cases]]&gt;$U$4,"YES","NO")</f>
        <v>NO</v>
      </c>
    </row>
    <row r="93" spans="1:16" x14ac:dyDescent="0.35">
      <c r="A93" s="1">
        <v>43943</v>
      </c>
      <c r="B93" s="4">
        <v>2630314</v>
      </c>
      <c r="C93" s="4">
        <v>187877</v>
      </c>
      <c r="D93" s="4">
        <v>693207</v>
      </c>
      <c r="E93" s="4">
        <v>1749230</v>
      </c>
      <c r="F93" s="4">
        <v>78994</v>
      </c>
      <c r="G93" s="4">
        <v>6755</v>
      </c>
      <c r="H93" s="4">
        <v>29164</v>
      </c>
      <c r="I93" s="4">
        <v>7</v>
      </c>
      <c r="J93" s="4">
        <v>26</v>
      </c>
      <c r="K93" s="4">
        <v>27</v>
      </c>
      <c r="L93" s="4">
        <v>184</v>
      </c>
      <c r="M93" s="4">
        <v>3.0032155856677201</v>
      </c>
      <c r="N93" s="23">
        <f>MAINTABLE[[#This Row],[Total Recovered Cases]]/MAINTABLE[[#This Row],[Confirmed Cases]]*100</f>
        <v>26.35453409744996</v>
      </c>
      <c r="O93" s="22">
        <f>MAINTABLE[[#This Row],[Total Deaths]]/MAINTABLE[[#This Row],[Confirmed Cases]]</f>
        <v>7.1427593815795373E-2</v>
      </c>
      <c r="P93" s="22" t="str">
        <f>IF(MAINTABLE[[#This Row],[New cases]]&gt;$U$4,"YES","NO")</f>
        <v>NO</v>
      </c>
    </row>
    <row r="94" spans="1:16" x14ac:dyDescent="0.35">
      <c r="A94" s="1">
        <v>43944</v>
      </c>
      <c r="B94" s="3">
        <v>2719327</v>
      </c>
      <c r="C94" s="3">
        <v>194727</v>
      </c>
      <c r="D94" s="3">
        <v>721689</v>
      </c>
      <c r="E94" s="3">
        <v>1802911</v>
      </c>
      <c r="F94" s="3">
        <v>89013</v>
      </c>
      <c r="G94" s="3">
        <v>6850</v>
      </c>
      <c r="H94" s="3">
        <v>28482</v>
      </c>
      <c r="I94" s="3">
        <v>7</v>
      </c>
      <c r="J94" s="3">
        <v>27</v>
      </c>
      <c r="K94" s="3">
        <v>27</v>
      </c>
      <c r="L94" s="3">
        <v>184</v>
      </c>
      <c r="M94" s="3">
        <v>3.2733466773212601</v>
      </c>
      <c r="N94" s="23">
        <f>MAINTABLE[[#This Row],[Total Recovered Cases]]/MAINTABLE[[#This Row],[Confirmed Cases]]*100</f>
        <v>26.539250336572245</v>
      </c>
      <c r="O94" s="22">
        <f>MAINTABLE[[#This Row],[Total Deaths]]/MAINTABLE[[#This Row],[Confirmed Cases]]</f>
        <v>7.1608526668547029E-2</v>
      </c>
      <c r="P94" s="22" t="str">
        <f>IF(MAINTABLE[[#This Row],[New cases]]&gt;$U$4,"YES","NO")</f>
        <v>NO</v>
      </c>
    </row>
    <row r="95" spans="1:16" x14ac:dyDescent="0.35">
      <c r="A95" s="1">
        <v>43945</v>
      </c>
      <c r="B95" s="4">
        <v>2806267</v>
      </c>
      <c r="C95" s="4">
        <v>201401</v>
      </c>
      <c r="D95" s="4">
        <v>771329</v>
      </c>
      <c r="E95" s="4">
        <v>1833537</v>
      </c>
      <c r="F95" s="4">
        <v>96974</v>
      </c>
      <c r="G95" s="4">
        <v>6674</v>
      </c>
      <c r="H95" s="4">
        <v>49640</v>
      </c>
      <c r="I95" s="4">
        <v>7</v>
      </c>
      <c r="J95" s="4">
        <v>27</v>
      </c>
      <c r="K95" s="4">
        <v>26</v>
      </c>
      <c r="L95" s="4">
        <v>184</v>
      </c>
      <c r="M95" s="4">
        <v>3.4556227187220601</v>
      </c>
      <c r="N95" s="23">
        <f>MAINTABLE[[#This Row],[Total Recovered Cases]]/MAINTABLE[[#This Row],[Confirmed Cases]]*100</f>
        <v>27.485944851291773</v>
      </c>
      <c r="O95" s="22">
        <f>MAINTABLE[[#This Row],[Total Deaths]]/MAINTABLE[[#This Row],[Confirmed Cases]]</f>
        <v>7.1768295746627103E-2</v>
      </c>
      <c r="P95" s="22" t="str">
        <f>IF(MAINTABLE[[#This Row],[New cases]]&gt;$U$4,"YES","NO")</f>
        <v>NO</v>
      </c>
    </row>
    <row r="96" spans="1:16" x14ac:dyDescent="0.35">
      <c r="A96" s="1">
        <v>43946</v>
      </c>
      <c r="B96" s="3">
        <v>2891199</v>
      </c>
      <c r="C96" s="3">
        <v>206979</v>
      </c>
      <c r="D96" s="3">
        <v>798239</v>
      </c>
      <c r="E96" s="3">
        <v>1885981</v>
      </c>
      <c r="F96" s="3">
        <v>84932</v>
      </c>
      <c r="G96" s="3">
        <v>5578</v>
      </c>
      <c r="H96" s="3">
        <v>26910</v>
      </c>
      <c r="I96" s="3">
        <v>7</v>
      </c>
      <c r="J96" s="3">
        <v>28</v>
      </c>
      <c r="K96" s="3">
        <v>26</v>
      </c>
      <c r="L96" s="3">
        <v>184</v>
      </c>
      <c r="M96" s="3">
        <v>2.9376047791936801</v>
      </c>
      <c r="N96" s="23">
        <f>MAINTABLE[[#This Row],[Total Recovered Cases]]/MAINTABLE[[#This Row],[Confirmed Cases]]*100</f>
        <v>27.609272139344267</v>
      </c>
      <c r="O96" s="22">
        <f>MAINTABLE[[#This Row],[Total Deaths]]/MAINTABLE[[#This Row],[Confirmed Cases]]</f>
        <v>7.1589330239807084E-2</v>
      </c>
      <c r="P96" s="22" t="str">
        <f>IF(MAINTABLE[[#This Row],[New cases]]&gt;$U$4,"YES","NO")</f>
        <v>NO</v>
      </c>
    </row>
    <row r="97" spans="1:16" x14ac:dyDescent="0.35">
      <c r="A97" s="1">
        <v>43947</v>
      </c>
      <c r="B97" s="4">
        <v>2964146</v>
      </c>
      <c r="C97" s="4">
        <v>210862</v>
      </c>
      <c r="D97" s="4">
        <v>825969</v>
      </c>
      <c r="E97" s="4">
        <v>1927315</v>
      </c>
      <c r="F97" s="4">
        <v>72948</v>
      </c>
      <c r="G97" s="4">
        <v>3883</v>
      </c>
      <c r="H97" s="4">
        <v>27730</v>
      </c>
      <c r="I97" s="4">
        <v>7</v>
      </c>
      <c r="J97" s="4">
        <v>28</v>
      </c>
      <c r="K97" s="4">
        <v>26</v>
      </c>
      <c r="L97" s="4">
        <v>184</v>
      </c>
      <c r="M97" s="4">
        <v>2.46101237928226</v>
      </c>
      <c r="N97" s="23">
        <f>MAINTABLE[[#This Row],[Total Recovered Cases]]/MAINTABLE[[#This Row],[Confirmed Cases]]*100</f>
        <v>27.865327821234175</v>
      </c>
      <c r="O97" s="22">
        <f>MAINTABLE[[#This Row],[Total Deaths]]/MAINTABLE[[#This Row],[Confirmed Cases]]</f>
        <v>7.1137521566076709E-2</v>
      </c>
      <c r="P97" s="22" t="str">
        <f>IF(MAINTABLE[[#This Row],[New cases]]&gt;$U$4,"YES","NO")</f>
        <v>NO</v>
      </c>
    </row>
    <row r="98" spans="1:16" x14ac:dyDescent="0.35">
      <c r="A98" s="1">
        <v>43948</v>
      </c>
      <c r="B98" s="3">
        <v>3032850</v>
      </c>
      <c r="C98" s="3">
        <v>215511</v>
      </c>
      <c r="D98" s="3">
        <v>852382</v>
      </c>
      <c r="E98" s="3">
        <v>1964957</v>
      </c>
      <c r="F98" s="3">
        <v>68704</v>
      </c>
      <c r="G98" s="3">
        <v>4649</v>
      </c>
      <c r="H98" s="3">
        <v>26413</v>
      </c>
      <c r="I98" s="3">
        <v>7</v>
      </c>
      <c r="J98" s="3">
        <v>28</v>
      </c>
      <c r="K98" s="3">
        <v>25</v>
      </c>
      <c r="L98" s="3">
        <v>184</v>
      </c>
      <c r="M98" s="3">
        <v>2.2653279918228701</v>
      </c>
      <c r="N98" s="23">
        <f>MAINTABLE[[#This Row],[Total Recovered Cases]]/MAINTABLE[[#This Row],[Confirmed Cases]]*100</f>
        <v>28.104983761148755</v>
      </c>
      <c r="O98" s="22">
        <f>MAINTABLE[[#This Row],[Total Deaths]]/MAINTABLE[[#This Row],[Confirmed Cases]]</f>
        <v>7.1058904990355609E-2</v>
      </c>
      <c r="P98" s="22" t="str">
        <f>IF(MAINTABLE[[#This Row],[New cases]]&gt;$U$4,"YES","NO")</f>
        <v>NO</v>
      </c>
    </row>
    <row r="99" spans="1:16" x14ac:dyDescent="0.35">
      <c r="A99" s="1">
        <v>43949</v>
      </c>
      <c r="B99" s="4">
        <v>3108149</v>
      </c>
      <c r="C99" s="4">
        <v>221974</v>
      </c>
      <c r="D99" s="4">
        <v>884680</v>
      </c>
      <c r="E99" s="4">
        <v>2001495</v>
      </c>
      <c r="F99" s="4">
        <v>75404</v>
      </c>
      <c r="G99" s="4">
        <v>6463</v>
      </c>
      <c r="H99" s="4">
        <v>32298</v>
      </c>
      <c r="I99" s="4">
        <v>7</v>
      </c>
      <c r="J99" s="4">
        <v>28</v>
      </c>
      <c r="K99" s="4">
        <v>25</v>
      </c>
      <c r="L99" s="4">
        <v>184</v>
      </c>
      <c r="M99" s="4">
        <v>2.4260098212794801</v>
      </c>
      <c r="N99" s="23">
        <f>MAINTABLE[[#This Row],[Total Recovered Cases]]/MAINTABLE[[#This Row],[Confirmed Cases]]*100</f>
        <v>28.463242914030186</v>
      </c>
      <c r="O99" s="22">
        <f>MAINTABLE[[#This Row],[Total Deaths]]/MAINTABLE[[#This Row],[Confirmed Cases]]</f>
        <v>7.1416782142683641E-2</v>
      </c>
      <c r="P99" s="22" t="str">
        <f>IF(MAINTABLE[[#This Row],[New cases]]&gt;$U$4,"YES","NO")</f>
        <v>NO</v>
      </c>
    </row>
    <row r="100" spans="1:16" x14ac:dyDescent="0.35">
      <c r="A100" s="1">
        <v>43950</v>
      </c>
      <c r="B100" s="3">
        <v>3185195</v>
      </c>
      <c r="C100" s="3">
        <v>228742</v>
      </c>
      <c r="D100" s="3">
        <v>925752</v>
      </c>
      <c r="E100" s="3">
        <v>2030701</v>
      </c>
      <c r="F100" s="3">
        <v>79558</v>
      </c>
      <c r="G100" s="3">
        <v>6768</v>
      </c>
      <c r="H100" s="3">
        <v>41072</v>
      </c>
      <c r="I100" s="3">
        <v>7</v>
      </c>
      <c r="J100" s="3">
        <v>29</v>
      </c>
      <c r="K100" s="3">
        <v>25</v>
      </c>
      <c r="L100" s="3">
        <v>184</v>
      </c>
      <c r="M100" s="3">
        <v>2.4977434662556002</v>
      </c>
      <c r="N100" s="23">
        <f>MAINTABLE[[#This Row],[Total Recovered Cases]]/MAINTABLE[[#This Row],[Confirmed Cases]]*100</f>
        <v>29.064217418399817</v>
      </c>
      <c r="O100" s="22">
        <f>MAINTABLE[[#This Row],[Total Deaths]]/MAINTABLE[[#This Row],[Confirmed Cases]]</f>
        <v>7.1814127549490694E-2</v>
      </c>
      <c r="P100" s="22" t="str">
        <f>IF(MAINTABLE[[#This Row],[New cases]]&gt;$U$4,"YES","NO")</f>
        <v>NO</v>
      </c>
    </row>
    <row r="101" spans="1:16" x14ac:dyDescent="0.35">
      <c r="A101" s="1">
        <v>43951</v>
      </c>
      <c r="B101" s="4">
        <v>3268876</v>
      </c>
      <c r="C101" s="4">
        <v>234704</v>
      </c>
      <c r="D101" s="4">
        <v>989616</v>
      </c>
      <c r="E101" s="4">
        <v>2044556</v>
      </c>
      <c r="F101" s="4">
        <v>83681</v>
      </c>
      <c r="G101" s="4">
        <v>5962</v>
      </c>
      <c r="H101" s="4">
        <v>63864</v>
      </c>
      <c r="I101" s="4">
        <v>7</v>
      </c>
      <c r="J101" s="4">
        <v>30</v>
      </c>
      <c r="K101" s="4">
        <v>24</v>
      </c>
      <c r="L101" s="4">
        <v>186</v>
      </c>
      <c r="M101" s="4">
        <v>2.5599319154351501</v>
      </c>
      <c r="N101" s="23">
        <f>MAINTABLE[[#This Row],[Total Recovered Cases]]/MAINTABLE[[#This Row],[Confirmed Cases]]*100</f>
        <v>30.273892310384365</v>
      </c>
      <c r="O101" s="22">
        <f>MAINTABLE[[#This Row],[Total Deaths]]/MAINTABLE[[#This Row],[Confirmed Cases]]</f>
        <v>7.1799603288714528E-2</v>
      </c>
      <c r="P101" s="22" t="str">
        <f>IF(MAINTABLE[[#This Row],[New cases]]&gt;$U$4,"YES","NO")</f>
        <v>NO</v>
      </c>
    </row>
    <row r="102" spans="1:16" x14ac:dyDescent="0.35">
      <c r="A102" s="1">
        <v>43952</v>
      </c>
      <c r="B102" s="3">
        <v>3355922</v>
      </c>
      <c r="C102" s="3">
        <v>239881</v>
      </c>
      <c r="D102" s="3">
        <v>1026501</v>
      </c>
      <c r="E102" s="3">
        <v>2089540</v>
      </c>
      <c r="F102" s="3">
        <v>87046</v>
      </c>
      <c r="G102" s="3">
        <v>5177</v>
      </c>
      <c r="H102" s="3">
        <v>36885</v>
      </c>
      <c r="I102" s="3">
        <v>7</v>
      </c>
      <c r="J102" s="3">
        <v>31</v>
      </c>
      <c r="K102" s="3">
        <v>23</v>
      </c>
      <c r="L102" s="3">
        <v>186</v>
      </c>
      <c r="M102" s="3">
        <v>2.5938028357035701</v>
      </c>
      <c r="N102" s="23">
        <f>MAINTABLE[[#This Row],[Total Recovered Cases]]/MAINTABLE[[#This Row],[Confirmed Cases]]*100</f>
        <v>30.587749059721887</v>
      </c>
      <c r="O102" s="22">
        <f>MAINTABLE[[#This Row],[Total Deaths]]/MAINTABLE[[#This Row],[Confirmed Cases]]</f>
        <v>7.1479909246996806E-2</v>
      </c>
      <c r="P102" s="22" t="str">
        <f>IF(MAINTABLE[[#This Row],[New cases]]&gt;$U$4,"YES","NO")</f>
        <v>NO</v>
      </c>
    </row>
    <row r="103" spans="1:16" x14ac:dyDescent="0.35">
      <c r="A103" s="1">
        <v>43953</v>
      </c>
      <c r="B103" s="4">
        <v>3437608</v>
      </c>
      <c r="C103" s="4">
        <v>245206</v>
      </c>
      <c r="D103" s="4">
        <v>1066362</v>
      </c>
      <c r="E103" s="4">
        <v>2126040</v>
      </c>
      <c r="F103" s="4">
        <v>81853</v>
      </c>
      <c r="G103" s="4">
        <v>5325</v>
      </c>
      <c r="H103" s="4">
        <v>39861</v>
      </c>
      <c r="I103" s="4">
        <v>7</v>
      </c>
      <c r="J103" s="4">
        <v>31</v>
      </c>
      <c r="K103" s="4">
        <v>23</v>
      </c>
      <c r="L103" s="4">
        <v>186</v>
      </c>
      <c r="M103" s="4">
        <v>2.38110337187952</v>
      </c>
      <c r="N103" s="23">
        <f>MAINTABLE[[#This Row],[Total Recovered Cases]]/MAINTABLE[[#This Row],[Confirmed Cases]]*100</f>
        <v>31.020465393378188</v>
      </c>
      <c r="O103" s="22">
        <f>MAINTABLE[[#This Row],[Total Deaths]]/MAINTABLE[[#This Row],[Confirmed Cases]]</f>
        <v>7.1330413473554871E-2</v>
      </c>
      <c r="P103" s="22" t="str">
        <f>IF(MAINTABLE[[#This Row],[New cases]]&gt;$U$4,"YES","NO")</f>
        <v>NO</v>
      </c>
    </row>
    <row r="104" spans="1:16" x14ac:dyDescent="0.35">
      <c r="A104" s="1">
        <v>43954</v>
      </c>
      <c r="B104" s="3">
        <v>3515244</v>
      </c>
      <c r="C104" s="3">
        <v>248659</v>
      </c>
      <c r="D104" s="3">
        <v>1097577</v>
      </c>
      <c r="E104" s="3">
        <v>2169008</v>
      </c>
      <c r="F104" s="3">
        <v>77636</v>
      </c>
      <c r="G104" s="3">
        <v>3453</v>
      </c>
      <c r="H104" s="3">
        <v>31215</v>
      </c>
      <c r="I104" s="3">
        <v>7</v>
      </c>
      <c r="J104" s="3">
        <v>31</v>
      </c>
      <c r="K104" s="3">
        <v>23</v>
      </c>
      <c r="L104" s="3">
        <v>186</v>
      </c>
      <c r="M104" s="3">
        <v>2.2085522370566602</v>
      </c>
      <c r="N104" s="23">
        <f>MAINTABLE[[#This Row],[Total Recovered Cases]]/MAINTABLE[[#This Row],[Confirmed Cases]]*100</f>
        <v>31.223351778710096</v>
      </c>
      <c r="O104" s="22">
        <f>MAINTABLE[[#This Row],[Total Deaths]]/MAINTABLE[[#This Row],[Confirmed Cases]]</f>
        <v>7.0737337152129418E-2</v>
      </c>
      <c r="P104" s="22" t="str">
        <f>IF(MAINTABLE[[#This Row],[New cases]]&gt;$U$4,"YES","NO")</f>
        <v>NO</v>
      </c>
    </row>
    <row r="105" spans="1:16" x14ac:dyDescent="0.35">
      <c r="A105" s="1">
        <v>43955</v>
      </c>
      <c r="B105" s="4">
        <v>3591321</v>
      </c>
      <c r="C105" s="4">
        <v>252787</v>
      </c>
      <c r="D105" s="4">
        <v>1130526</v>
      </c>
      <c r="E105" s="4">
        <v>2208008</v>
      </c>
      <c r="F105" s="4">
        <v>76078</v>
      </c>
      <c r="G105" s="4">
        <v>4128</v>
      </c>
      <c r="H105" s="4">
        <v>32949</v>
      </c>
      <c r="I105" s="4">
        <v>7</v>
      </c>
      <c r="J105" s="4">
        <v>31</v>
      </c>
      <c r="K105" s="4">
        <v>22</v>
      </c>
      <c r="L105" s="4">
        <v>186</v>
      </c>
      <c r="M105" s="4">
        <v>2.1183848505884</v>
      </c>
      <c r="N105" s="23">
        <f>MAINTABLE[[#This Row],[Total Recovered Cases]]/MAINTABLE[[#This Row],[Confirmed Cases]]*100</f>
        <v>31.479391566501576</v>
      </c>
      <c r="O105" s="22">
        <f>MAINTABLE[[#This Row],[Total Deaths]]/MAINTABLE[[#This Row],[Confirmed Cases]]</f>
        <v>7.0388305584491051E-2</v>
      </c>
      <c r="P105" s="22" t="str">
        <f>IF(MAINTABLE[[#This Row],[New cases]]&gt;$U$4,"YES","NO")</f>
        <v>NO</v>
      </c>
    </row>
    <row r="106" spans="1:16" x14ac:dyDescent="0.35">
      <c r="A106" s="1">
        <v>43956</v>
      </c>
      <c r="B106" s="3">
        <v>3671310</v>
      </c>
      <c r="C106" s="3">
        <v>258658</v>
      </c>
      <c r="D106" s="3">
        <v>1166155</v>
      </c>
      <c r="E106" s="3">
        <v>2246497</v>
      </c>
      <c r="F106" s="3">
        <v>79989</v>
      </c>
      <c r="G106" s="3">
        <v>5871</v>
      </c>
      <c r="H106" s="3">
        <v>35629</v>
      </c>
      <c r="I106" s="3">
        <v>7</v>
      </c>
      <c r="J106" s="3">
        <v>32</v>
      </c>
      <c r="K106" s="3">
        <v>22</v>
      </c>
      <c r="L106" s="3">
        <v>186</v>
      </c>
      <c r="M106" s="3">
        <v>2.1787590805461798</v>
      </c>
      <c r="N106" s="23">
        <f>MAINTABLE[[#This Row],[Total Recovered Cases]]/MAINTABLE[[#This Row],[Confirmed Cases]]*100</f>
        <v>31.764002495022215</v>
      </c>
      <c r="O106" s="22">
        <f>MAINTABLE[[#This Row],[Total Deaths]]/MAINTABLE[[#This Row],[Confirmed Cases]]</f>
        <v>7.0453870689209025E-2</v>
      </c>
      <c r="P106" s="22" t="str">
        <f>IF(MAINTABLE[[#This Row],[New cases]]&gt;$U$4,"YES","NO")</f>
        <v>NO</v>
      </c>
    </row>
    <row r="107" spans="1:16" x14ac:dyDescent="0.35">
      <c r="A107" s="1">
        <v>43957</v>
      </c>
      <c r="B107" s="4">
        <v>3761332</v>
      </c>
      <c r="C107" s="4">
        <v>265327</v>
      </c>
      <c r="D107" s="4">
        <v>1210894</v>
      </c>
      <c r="E107" s="4">
        <v>2285111</v>
      </c>
      <c r="F107" s="4">
        <v>90022</v>
      </c>
      <c r="G107" s="4">
        <v>6669</v>
      </c>
      <c r="H107" s="4">
        <v>44739</v>
      </c>
      <c r="I107" s="4">
        <v>7</v>
      </c>
      <c r="J107" s="4">
        <v>32</v>
      </c>
      <c r="K107" s="4">
        <v>22</v>
      </c>
      <c r="L107" s="4">
        <v>186</v>
      </c>
      <c r="M107" s="4">
        <v>2.3933542691791101</v>
      </c>
      <c r="N107" s="23">
        <f>MAINTABLE[[#This Row],[Total Recovered Cases]]/MAINTABLE[[#This Row],[Confirmed Cases]]*100</f>
        <v>32.193223039072329</v>
      </c>
      <c r="O107" s="22">
        <f>MAINTABLE[[#This Row],[Total Deaths]]/MAINTABLE[[#This Row],[Confirmed Cases]]</f>
        <v>7.054070207043675E-2</v>
      </c>
      <c r="P107" s="22" t="str">
        <f>IF(MAINTABLE[[#This Row],[New cases]]&gt;$U$4,"YES","NO")</f>
        <v>NO</v>
      </c>
    </row>
    <row r="108" spans="1:16" x14ac:dyDescent="0.35">
      <c r="A108" s="1">
        <v>43958</v>
      </c>
      <c r="B108" s="3">
        <v>3850418</v>
      </c>
      <c r="C108" s="3">
        <v>270736</v>
      </c>
      <c r="D108" s="3">
        <v>1249311</v>
      </c>
      <c r="E108" s="3">
        <v>2330371</v>
      </c>
      <c r="F108" s="3">
        <v>90669</v>
      </c>
      <c r="G108" s="3">
        <v>5409</v>
      </c>
      <c r="H108" s="3">
        <v>38417</v>
      </c>
      <c r="I108" s="3">
        <v>7</v>
      </c>
      <c r="J108" s="3">
        <v>32</v>
      </c>
      <c r="K108" s="3">
        <v>22</v>
      </c>
      <c r="L108" s="3">
        <v>186</v>
      </c>
      <c r="M108" s="3">
        <v>2.3547832988522299</v>
      </c>
      <c r="N108" s="23">
        <f>MAINTABLE[[#This Row],[Total Recovered Cases]]/MAINTABLE[[#This Row],[Confirmed Cases]]*100</f>
        <v>32.44611364272658</v>
      </c>
      <c r="O108" s="22">
        <f>MAINTABLE[[#This Row],[Total Deaths]]/MAINTABLE[[#This Row],[Confirmed Cases]]</f>
        <v>7.0313404934217533E-2</v>
      </c>
      <c r="P108" s="22" t="str">
        <f>IF(MAINTABLE[[#This Row],[New cases]]&gt;$U$4,"YES","NO")</f>
        <v>NO</v>
      </c>
    </row>
    <row r="109" spans="1:16" x14ac:dyDescent="0.35">
      <c r="A109" s="1">
        <v>43959</v>
      </c>
      <c r="B109" s="4">
        <v>3941935</v>
      </c>
      <c r="C109" s="4">
        <v>276304</v>
      </c>
      <c r="D109" s="4">
        <v>1284849</v>
      </c>
      <c r="E109" s="4">
        <v>2380782</v>
      </c>
      <c r="F109" s="4">
        <v>92997</v>
      </c>
      <c r="G109" s="4">
        <v>5568</v>
      </c>
      <c r="H109" s="4">
        <v>35538</v>
      </c>
      <c r="I109" s="4">
        <v>7</v>
      </c>
      <c r="J109" s="4">
        <v>33</v>
      </c>
      <c r="K109" s="4">
        <v>22</v>
      </c>
      <c r="L109" s="4">
        <v>186</v>
      </c>
      <c r="M109" s="4">
        <v>2.3591713206838798</v>
      </c>
      <c r="N109" s="23">
        <f>MAINTABLE[[#This Row],[Total Recovered Cases]]/MAINTABLE[[#This Row],[Confirmed Cases]]*100</f>
        <v>32.594373068049066</v>
      </c>
      <c r="O109" s="22">
        <f>MAINTABLE[[#This Row],[Total Deaths]]/MAINTABLE[[#This Row],[Confirmed Cases]]</f>
        <v>7.0093494692327493E-2</v>
      </c>
      <c r="P109" s="22" t="str">
        <f>IF(MAINTABLE[[#This Row],[New cases]]&gt;$U$4,"YES","NO")</f>
        <v>NO</v>
      </c>
    </row>
    <row r="110" spans="1:16" x14ac:dyDescent="0.35">
      <c r="A110" s="1">
        <v>43960</v>
      </c>
      <c r="B110" s="3">
        <v>4027781</v>
      </c>
      <c r="C110" s="3">
        <v>280569</v>
      </c>
      <c r="D110" s="3">
        <v>1337367</v>
      </c>
      <c r="E110" s="3">
        <v>2409845</v>
      </c>
      <c r="F110" s="3">
        <v>85846</v>
      </c>
      <c r="G110" s="3">
        <v>4265</v>
      </c>
      <c r="H110" s="3">
        <v>52518</v>
      </c>
      <c r="I110" s="3">
        <v>7</v>
      </c>
      <c r="J110" s="3">
        <v>33</v>
      </c>
      <c r="K110" s="3">
        <v>21</v>
      </c>
      <c r="L110" s="3">
        <v>186</v>
      </c>
      <c r="M110" s="3">
        <v>2.1313472604394299</v>
      </c>
      <c r="N110" s="23">
        <f>MAINTABLE[[#This Row],[Total Recovered Cases]]/MAINTABLE[[#This Row],[Confirmed Cases]]*100</f>
        <v>33.203567919904287</v>
      </c>
      <c r="O110" s="22">
        <f>MAINTABLE[[#This Row],[Total Deaths]]/MAINTABLE[[#This Row],[Confirmed Cases]]</f>
        <v>6.9658454618063886E-2</v>
      </c>
      <c r="P110" s="22" t="str">
        <f>IF(MAINTABLE[[#This Row],[New cases]]&gt;$U$4,"YES","NO")</f>
        <v>NO</v>
      </c>
    </row>
    <row r="111" spans="1:16" x14ac:dyDescent="0.35">
      <c r="A111" s="1">
        <v>43961</v>
      </c>
      <c r="B111" s="4">
        <v>4104027</v>
      </c>
      <c r="C111" s="4">
        <v>284135</v>
      </c>
      <c r="D111" s="4">
        <v>1370108</v>
      </c>
      <c r="E111" s="4">
        <v>2449784</v>
      </c>
      <c r="F111" s="4">
        <v>76255</v>
      </c>
      <c r="G111" s="4">
        <v>3566</v>
      </c>
      <c r="H111" s="4">
        <v>32741</v>
      </c>
      <c r="I111" s="4">
        <v>7</v>
      </c>
      <c r="J111" s="4">
        <v>33</v>
      </c>
      <c r="K111" s="4">
        <v>21</v>
      </c>
      <c r="L111" s="4">
        <v>186</v>
      </c>
      <c r="M111" s="4">
        <v>1.85805307811084</v>
      </c>
      <c r="N111" s="23">
        <f>MAINTABLE[[#This Row],[Total Recovered Cases]]/MAINTABLE[[#This Row],[Confirmed Cases]]*100</f>
        <v>33.384478221025347</v>
      </c>
      <c r="O111" s="22">
        <f>MAINTABLE[[#This Row],[Total Deaths]]/MAINTABLE[[#This Row],[Confirmed Cases]]</f>
        <v>6.9233218982233793E-2</v>
      </c>
      <c r="P111" s="22" t="str">
        <f>IF(MAINTABLE[[#This Row],[New cases]]&gt;$U$4,"YES","NO")</f>
        <v>NO</v>
      </c>
    </row>
    <row r="112" spans="1:16" x14ac:dyDescent="0.35">
      <c r="A112" s="1">
        <v>43962</v>
      </c>
      <c r="B112" s="3">
        <v>4180268</v>
      </c>
      <c r="C112" s="3">
        <v>287608</v>
      </c>
      <c r="D112" s="3">
        <v>1416204</v>
      </c>
      <c r="E112" s="3">
        <v>2476456</v>
      </c>
      <c r="F112" s="3">
        <v>76298</v>
      </c>
      <c r="G112" s="3">
        <v>3473</v>
      </c>
      <c r="H112" s="3">
        <v>46096</v>
      </c>
      <c r="I112" s="3">
        <v>7</v>
      </c>
      <c r="J112" s="3">
        <v>34</v>
      </c>
      <c r="K112" s="3">
        <v>20</v>
      </c>
      <c r="L112" s="3">
        <v>186</v>
      </c>
      <c r="M112" s="3">
        <v>1.82519398277814</v>
      </c>
      <c r="N112" s="23">
        <f>MAINTABLE[[#This Row],[Total Recovered Cases]]/MAINTABLE[[#This Row],[Confirmed Cases]]*100</f>
        <v>33.878306366960203</v>
      </c>
      <c r="O112" s="22">
        <f>MAINTABLE[[#This Row],[Total Deaths]]/MAINTABLE[[#This Row],[Confirmed Cases]]</f>
        <v>6.8801330441014788E-2</v>
      </c>
      <c r="P112" s="22" t="str">
        <f>IF(MAINTABLE[[#This Row],[New cases]]&gt;$U$4,"YES","NO")</f>
        <v>NO</v>
      </c>
    </row>
    <row r="113" spans="1:16" x14ac:dyDescent="0.35">
      <c r="A113" s="1">
        <v>43963</v>
      </c>
      <c r="B113" s="4">
        <v>4263867</v>
      </c>
      <c r="C113" s="4">
        <v>293155</v>
      </c>
      <c r="D113" s="4">
        <v>1452191</v>
      </c>
      <c r="E113" s="4">
        <v>2518521</v>
      </c>
      <c r="F113" s="4">
        <v>83619</v>
      </c>
      <c r="G113" s="4">
        <v>5547</v>
      </c>
      <c r="H113" s="4">
        <v>35987</v>
      </c>
      <c r="I113" s="4">
        <v>7</v>
      </c>
      <c r="J113" s="4">
        <v>34</v>
      </c>
      <c r="K113" s="4">
        <v>20</v>
      </c>
      <c r="L113" s="4">
        <v>186</v>
      </c>
      <c r="M113" s="4">
        <v>1.9611071358464001</v>
      </c>
      <c r="N113" s="23">
        <f>MAINTABLE[[#This Row],[Total Recovered Cases]]/MAINTABLE[[#This Row],[Confirmed Cases]]*100</f>
        <v>34.05807451311216</v>
      </c>
      <c r="O113" s="22">
        <f>MAINTABLE[[#This Row],[Total Deaths]]/MAINTABLE[[#This Row],[Confirmed Cases]]</f>
        <v>6.8753317118005794E-2</v>
      </c>
      <c r="P113" s="22" t="str">
        <f>IF(MAINTABLE[[#This Row],[New cases]]&gt;$U$4,"YES","NO")</f>
        <v>NO</v>
      </c>
    </row>
    <row r="114" spans="1:16" x14ac:dyDescent="0.35">
      <c r="A114" s="1">
        <v>43964</v>
      </c>
      <c r="B114" s="3">
        <v>4348619</v>
      </c>
      <c r="C114" s="3">
        <v>298383</v>
      </c>
      <c r="D114" s="3">
        <v>1506905</v>
      </c>
      <c r="E114" s="3">
        <v>2543331</v>
      </c>
      <c r="F114" s="3">
        <v>84917</v>
      </c>
      <c r="G114" s="3">
        <v>5228</v>
      </c>
      <c r="H114" s="3">
        <v>54714</v>
      </c>
      <c r="I114" s="3">
        <v>7</v>
      </c>
      <c r="J114" s="3">
        <v>35</v>
      </c>
      <c r="K114" s="3">
        <v>20</v>
      </c>
      <c r="L114" s="3">
        <v>187</v>
      </c>
      <c r="M114" s="3">
        <v>1.9527348797399799</v>
      </c>
      <c r="N114" s="23">
        <f>MAINTABLE[[#This Row],[Total Recovered Cases]]/MAINTABLE[[#This Row],[Confirmed Cases]]*100</f>
        <v>34.652495424409452</v>
      </c>
      <c r="O114" s="22">
        <f>MAINTABLE[[#This Row],[Total Deaths]]/MAINTABLE[[#This Row],[Confirmed Cases]]</f>
        <v>6.8615576577299595E-2</v>
      </c>
      <c r="P114" s="22" t="str">
        <f>IF(MAINTABLE[[#This Row],[New cases]]&gt;$U$4,"YES","NO")</f>
        <v>NO</v>
      </c>
    </row>
    <row r="115" spans="1:16" x14ac:dyDescent="0.35">
      <c r="A115" s="1">
        <v>43965</v>
      </c>
      <c r="B115" s="4">
        <v>4445724</v>
      </c>
      <c r="C115" s="4">
        <v>303651</v>
      </c>
      <c r="D115" s="4">
        <v>1545712</v>
      </c>
      <c r="E115" s="4">
        <v>2596361</v>
      </c>
      <c r="F115" s="4">
        <v>97106</v>
      </c>
      <c r="G115" s="4">
        <v>5268</v>
      </c>
      <c r="H115" s="4">
        <v>38807</v>
      </c>
      <c r="I115" s="4">
        <v>7</v>
      </c>
      <c r="J115" s="4">
        <v>35</v>
      </c>
      <c r="K115" s="4">
        <v>20</v>
      </c>
      <c r="L115" s="4">
        <v>187</v>
      </c>
      <c r="M115" s="4">
        <v>2.1842561526536501</v>
      </c>
      <c r="N115" s="23">
        <f>MAINTABLE[[#This Row],[Total Recovered Cases]]/MAINTABLE[[#This Row],[Confirmed Cases]]*100</f>
        <v>34.768510145928985</v>
      </c>
      <c r="O115" s="22">
        <f>MAINTABLE[[#This Row],[Total Deaths]]/MAINTABLE[[#This Row],[Confirmed Cases]]</f>
        <v>6.8301810908639404E-2</v>
      </c>
      <c r="P115" s="22" t="str">
        <f>IF(MAINTABLE[[#This Row],[New cases]]&gt;$U$4,"YES","NO")</f>
        <v>NO</v>
      </c>
    </row>
    <row r="116" spans="1:16" x14ac:dyDescent="0.35">
      <c r="A116" s="1">
        <v>43966</v>
      </c>
      <c r="B116" s="3">
        <v>4542073</v>
      </c>
      <c r="C116" s="3">
        <v>308866</v>
      </c>
      <c r="D116" s="3">
        <v>1592880</v>
      </c>
      <c r="E116" s="3">
        <v>2640327</v>
      </c>
      <c r="F116" s="3">
        <v>96349</v>
      </c>
      <c r="G116" s="3">
        <v>5215</v>
      </c>
      <c r="H116" s="3">
        <v>47168</v>
      </c>
      <c r="I116" s="3">
        <v>7</v>
      </c>
      <c r="J116" s="3">
        <v>35</v>
      </c>
      <c r="K116" s="3">
        <v>19</v>
      </c>
      <c r="L116" s="3">
        <v>187</v>
      </c>
      <c r="M116" s="3">
        <v>2.12125608725355</v>
      </c>
      <c r="N116" s="23">
        <f>MAINTABLE[[#This Row],[Total Recovered Cases]]/MAINTABLE[[#This Row],[Confirmed Cases]]*100</f>
        <v>35.069449566310361</v>
      </c>
      <c r="O116" s="22">
        <f>MAINTABLE[[#This Row],[Total Deaths]]/MAINTABLE[[#This Row],[Confirmed Cases]]</f>
        <v>6.8001108744839639E-2</v>
      </c>
      <c r="P116" s="22" t="str">
        <f>IF(MAINTABLE[[#This Row],[New cases]]&gt;$U$4,"YES","NO")</f>
        <v>NO</v>
      </c>
    </row>
    <row r="117" spans="1:16" x14ac:dyDescent="0.35">
      <c r="A117" s="1">
        <v>43967</v>
      </c>
      <c r="B117" s="4">
        <v>4637485</v>
      </c>
      <c r="C117" s="4">
        <v>313037</v>
      </c>
      <c r="D117" s="4">
        <v>1648546</v>
      </c>
      <c r="E117" s="4">
        <v>2675902</v>
      </c>
      <c r="F117" s="4">
        <v>95412</v>
      </c>
      <c r="G117" s="4">
        <v>4171</v>
      </c>
      <c r="H117" s="4">
        <v>55666</v>
      </c>
      <c r="I117" s="4">
        <v>7</v>
      </c>
      <c r="J117" s="4">
        <v>36</v>
      </c>
      <c r="K117" s="4">
        <v>19</v>
      </c>
      <c r="L117" s="4">
        <v>187</v>
      </c>
      <c r="M117" s="4">
        <v>2.0574082719405</v>
      </c>
      <c r="N117" s="23">
        <f>MAINTABLE[[#This Row],[Total Recovered Cases]]/MAINTABLE[[#This Row],[Confirmed Cases]]*100</f>
        <v>35.548276706016303</v>
      </c>
      <c r="O117" s="22">
        <f>MAINTABLE[[#This Row],[Total Deaths]]/MAINTABLE[[#This Row],[Confirmed Cases]]</f>
        <v>6.7501458225740898E-2</v>
      </c>
      <c r="P117" s="22" t="str">
        <f>IF(MAINTABLE[[#This Row],[New cases]]&gt;$U$4,"YES","NO")</f>
        <v>NO</v>
      </c>
    </row>
    <row r="118" spans="1:16" x14ac:dyDescent="0.35">
      <c r="A118" s="1">
        <v>43968</v>
      </c>
      <c r="B118" s="3">
        <v>4715994</v>
      </c>
      <c r="C118" s="3">
        <v>316366</v>
      </c>
      <c r="D118" s="3">
        <v>1688699</v>
      </c>
      <c r="E118" s="3">
        <v>2710929</v>
      </c>
      <c r="F118" s="3">
        <v>78509</v>
      </c>
      <c r="G118" s="3">
        <v>3329</v>
      </c>
      <c r="H118" s="3">
        <v>40153</v>
      </c>
      <c r="I118" s="3">
        <v>7</v>
      </c>
      <c r="J118" s="3">
        <v>36</v>
      </c>
      <c r="K118" s="3">
        <v>19</v>
      </c>
      <c r="L118" s="3">
        <v>187</v>
      </c>
      <c r="M118" s="3">
        <v>1.66473918329837</v>
      </c>
      <c r="N118" s="23">
        <f>MAINTABLE[[#This Row],[Total Recovered Cases]]/MAINTABLE[[#This Row],[Confirmed Cases]]*100</f>
        <v>35.8079123934424</v>
      </c>
      <c r="O118" s="22">
        <f>MAINTABLE[[#This Row],[Total Deaths]]/MAINTABLE[[#This Row],[Confirmed Cases]]</f>
        <v>6.7083630725569207E-2</v>
      </c>
      <c r="P118" s="22" t="str">
        <f>IF(MAINTABLE[[#This Row],[New cases]]&gt;$U$4,"YES","NO")</f>
        <v>NO</v>
      </c>
    </row>
    <row r="119" spans="1:16" x14ac:dyDescent="0.35">
      <c r="A119" s="1">
        <v>43969</v>
      </c>
      <c r="B119" s="4">
        <v>4804278</v>
      </c>
      <c r="C119" s="4">
        <v>319657</v>
      </c>
      <c r="D119" s="4">
        <v>1740909</v>
      </c>
      <c r="E119" s="4">
        <v>2743712</v>
      </c>
      <c r="F119" s="4">
        <v>88284</v>
      </c>
      <c r="G119" s="4">
        <v>3291</v>
      </c>
      <c r="H119" s="4">
        <v>52210</v>
      </c>
      <c r="I119" s="4">
        <v>7</v>
      </c>
      <c r="J119" s="4">
        <v>36</v>
      </c>
      <c r="K119" s="4">
        <v>18</v>
      </c>
      <c r="L119" s="4">
        <v>187</v>
      </c>
      <c r="M119" s="4">
        <v>1.8376122281017</v>
      </c>
      <c r="N119" s="23">
        <f>MAINTABLE[[#This Row],[Total Recovered Cases]]/MAINTABLE[[#This Row],[Confirmed Cases]]*100</f>
        <v>36.236641593180082</v>
      </c>
      <c r="O119" s="22">
        <f>MAINTABLE[[#This Row],[Total Deaths]]/MAINTABLE[[#This Row],[Confirmed Cases]]</f>
        <v>6.6535908205145503E-2</v>
      </c>
      <c r="P119" s="22" t="str">
        <f>IF(MAINTABLE[[#This Row],[New cases]]&gt;$U$4,"YES","NO")</f>
        <v>NO</v>
      </c>
    </row>
    <row r="120" spans="1:16" x14ac:dyDescent="0.35">
      <c r="A120" s="1">
        <v>43970</v>
      </c>
      <c r="B120" s="3">
        <v>4900702</v>
      </c>
      <c r="C120" s="3">
        <v>324441</v>
      </c>
      <c r="D120" s="3">
        <v>1792256</v>
      </c>
      <c r="E120" s="3">
        <v>2784005</v>
      </c>
      <c r="F120" s="3">
        <v>96633</v>
      </c>
      <c r="G120" s="3">
        <v>4784</v>
      </c>
      <c r="H120" s="3">
        <v>51347</v>
      </c>
      <c r="I120" s="3">
        <v>7</v>
      </c>
      <c r="J120" s="3">
        <v>37</v>
      </c>
      <c r="K120" s="3">
        <v>18</v>
      </c>
      <c r="L120" s="3">
        <v>187</v>
      </c>
      <c r="M120" s="3">
        <v>1.97181954748524</v>
      </c>
      <c r="N120" s="23">
        <f>MAINTABLE[[#This Row],[Total Recovered Cases]]/MAINTABLE[[#This Row],[Confirmed Cases]]*100</f>
        <v>36.571413646453102</v>
      </c>
      <c r="O120" s="22">
        <f>MAINTABLE[[#This Row],[Total Deaths]]/MAINTABLE[[#This Row],[Confirmed Cases]]</f>
        <v>6.6202964391632049E-2</v>
      </c>
      <c r="P120" s="22" t="str">
        <f>IF(MAINTABLE[[#This Row],[New cases]]&gt;$U$4,"YES","NO")</f>
        <v>NO</v>
      </c>
    </row>
    <row r="121" spans="1:16" x14ac:dyDescent="0.35">
      <c r="A121" s="1">
        <v>43971</v>
      </c>
      <c r="B121" s="4">
        <v>5003730</v>
      </c>
      <c r="C121" s="4">
        <v>329326</v>
      </c>
      <c r="D121" s="4">
        <v>1850441</v>
      </c>
      <c r="E121" s="4">
        <v>2823963</v>
      </c>
      <c r="F121" s="4">
        <v>103028</v>
      </c>
      <c r="G121" s="4">
        <v>4885</v>
      </c>
      <c r="H121" s="4">
        <v>58185</v>
      </c>
      <c r="I121" s="4">
        <v>7</v>
      </c>
      <c r="J121" s="4">
        <v>37</v>
      </c>
      <c r="K121" s="4">
        <v>18</v>
      </c>
      <c r="L121" s="4">
        <v>187</v>
      </c>
      <c r="M121" s="4">
        <v>2.0590239681197802</v>
      </c>
      <c r="N121" s="23">
        <f>MAINTABLE[[#This Row],[Total Recovered Cases]]/MAINTABLE[[#This Row],[Confirmed Cases]]*100</f>
        <v>36.981232000927314</v>
      </c>
      <c r="O121" s="22">
        <f>MAINTABLE[[#This Row],[Total Deaths]]/MAINTABLE[[#This Row],[Confirmed Cases]]</f>
        <v>6.5816101188513373E-2</v>
      </c>
      <c r="P121" s="22" t="str">
        <f>IF(MAINTABLE[[#This Row],[New cases]]&gt;$U$4,"YES","NO")</f>
        <v>NO</v>
      </c>
    </row>
    <row r="122" spans="1:16" x14ac:dyDescent="0.35">
      <c r="A122" s="1">
        <v>43972</v>
      </c>
      <c r="B122" s="3">
        <v>5110064</v>
      </c>
      <c r="C122" s="3">
        <v>334112</v>
      </c>
      <c r="D122" s="3">
        <v>1900768</v>
      </c>
      <c r="E122" s="3">
        <v>2875184</v>
      </c>
      <c r="F122" s="3">
        <v>106438</v>
      </c>
      <c r="G122" s="3">
        <v>4786</v>
      </c>
      <c r="H122" s="3">
        <v>50327</v>
      </c>
      <c r="I122" s="3">
        <v>7</v>
      </c>
      <c r="J122" s="3">
        <v>37</v>
      </c>
      <c r="K122" s="3">
        <v>18</v>
      </c>
      <c r="L122" s="3">
        <v>187</v>
      </c>
      <c r="M122" s="3">
        <v>2.0829093334251798</v>
      </c>
      <c r="N122" s="23">
        <f>MAINTABLE[[#This Row],[Total Recovered Cases]]/MAINTABLE[[#This Row],[Confirmed Cases]]*100</f>
        <v>37.196559573422171</v>
      </c>
      <c r="O122" s="22">
        <f>MAINTABLE[[#This Row],[Total Deaths]]/MAINTABLE[[#This Row],[Confirmed Cases]]</f>
        <v>6.5383134144699553E-2</v>
      </c>
      <c r="P122" s="22" t="str">
        <f>IF(MAINTABLE[[#This Row],[New cases]]&gt;$U$4,"YES","NO")</f>
        <v>NO</v>
      </c>
    </row>
    <row r="123" spans="1:16" x14ac:dyDescent="0.35">
      <c r="A123" s="1">
        <v>43973</v>
      </c>
      <c r="B123" s="4">
        <v>5216964</v>
      </c>
      <c r="C123" s="4">
        <v>339396</v>
      </c>
      <c r="D123" s="4">
        <v>2008541</v>
      </c>
      <c r="E123" s="4">
        <v>2869027</v>
      </c>
      <c r="F123" s="4">
        <v>106900</v>
      </c>
      <c r="G123" s="4">
        <v>5284</v>
      </c>
      <c r="H123" s="4">
        <v>107773</v>
      </c>
      <c r="I123" s="4">
        <v>7</v>
      </c>
      <c r="J123" s="4">
        <v>38</v>
      </c>
      <c r="K123" s="4">
        <v>17</v>
      </c>
      <c r="L123" s="4">
        <v>187</v>
      </c>
      <c r="M123" s="4">
        <v>2.0490844866861302</v>
      </c>
      <c r="N123" s="23">
        <f>MAINTABLE[[#This Row],[Total Recovered Cases]]/MAINTABLE[[#This Row],[Confirmed Cases]]*100</f>
        <v>38.500188998812334</v>
      </c>
      <c r="O123" s="22">
        <f>MAINTABLE[[#This Row],[Total Deaths]]/MAINTABLE[[#This Row],[Confirmed Cases]]</f>
        <v>6.5056228105081812E-2</v>
      </c>
      <c r="P123" s="22" t="str">
        <f>IF(MAINTABLE[[#This Row],[New cases]]&gt;$U$4,"YES","NO")</f>
        <v>NO</v>
      </c>
    </row>
    <row r="124" spans="1:16" x14ac:dyDescent="0.35">
      <c r="A124" s="1">
        <v>43974</v>
      </c>
      <c r="B124" s="3">
        <v>5322253</v>
      </c>
      <c r="C124" s="3">
        <v>343385</v>
      </c>
      <c r="D124" s="3">
        <v>2062802</v>
      </c>
      <c r="E124" s="3">
        <v>2916066</v>
      </c>
      <c r="F124" s="3">
        <v>105289</v>
      </c>
      <c r="G124" s="3">
        <v>3989</v>
      </c>
      <c r="H124" s="3">
        <v>54261</v>
      </c>
      <c r="I124" s="3">
        <v>6</v>
      </c>
      <c r="J124" s="3">
        <v>39</v>
      </c>
      <c r="K124" s="3">
        <v>17</v>
      </c>
      <c r="L124" s="3">
        <v>187</v>
      </c>
      <c r="M124" s="3">
        <v>1.9782787477408501</v>
      </c>
      <c r="N124" s="23">
        <f>MAINTABLE[[#This Row],[Total Recovered Cases]]/MAINTABLE[[#This Row],[Confirmed Cases]]*100</f>
        <v>38.758059791595777</v>
      </c>
      <c r="O124" s="22">
        <f>MAINTABLE[[#This Row],[Total Deaths]]/MAINTABLE[[#This Row],[Confirmed Cases]]</f>
        <v>6.4518729192317617E-2</v>
      </c>
      <c r="P124" s="22" t="str">
        <f>IF(MAINTABLE[[#This Row],[New cases]]&gt;$U$4,"YES","NO")</f>
        <v>NO</v>
      </c>
    </row>
    <row r="125" spans="1:16" x14ac:dyDescent="0.35">
      <c r="A125" s="1">
        <v>43975</v>
      </c>
      <c r="B125" s="4">
        <v>5417579</v>
      </c>
      <c r="C125" s="4">
        <v>346525</v>
      </c>
      <c r="D125" s="4">
        <v>2117555</v>
      </c>
      <c r="E125" s="4">
        <v>2953499</v>
      </c>
      <c r="F125" s="4">
        <v>95326</v>
      </c>
      <c r="G125" s="4">
        <v>3140</v>
      </c>
      <c r="H125" s="4">
        <v>54753</v>
      </c>
      <c r="I125" s="4">
        <v>6</v>
      </c>
      <c r="J125" s="4">
        <v>39</v>
      </c>
      <c r="K125" s="4">
        <v>16</v>
      </c>
      <c r="L125" s="4">
        <v>187</v>
      </c>
      <c r="M125" s="4">
        <v>1.7595682499507601</v>
      </c>
      <c r="N125" s="23">
        <f>MAINTABLE[[#This Row],[Total Recovered Cases]]/MAINTABLE[[#This Row],[Confirmed Cases]]*100</f>
        <v>39.086739667294189</v>
      </c>
      <c r="O125" s="22">
        <f>MAINTABLE[[#This Row],[Total Deaths]]/MAINTABLE[[#This Row],[Confirmed Cases]]</f>
        <v>6.3963072804291365E-2</v>
      </c>
      <c r="P125" s="22" t="str">
        <f>IF(MAINTABLE[[#This Row],[New cases]]&gt;$U$4,"YES","NO")</f>
        <v>NO</v>
      </c>
    </row>
    <row r="126" spans="1:16" x14ac:dyDescent="0.35">
      <c r="A126" s="1">
        <v>43976</v>
      </c>
      <c r="B126" s="3">
        <v>5504542</v>
      </c>
      <c r="C126" s="3">
        <v>347703</v>
      </c>
      <c r="D126" s="3">
        <v>2180605</v>
      </c>
      <c r="E126" s="3">
        <v>2976234</v>
      </c>
      <c r="F126" s="3">
        <v>87335</v>
      </c>
      <c r="G126" s="3">
        <v>1178</v>
      </c>
      <c r="H126" s="3">
        <v>63050</v>
      </c>
      <c r="I126" s="3">
        <v>6</v>
      </c>
      <c r="J126" s="3">
        <v>40</v>
      </c>
      <c r="K126" s="3">
        <v>16</v>
      </c>
      <c r="L126" s="3">
        <v>187</v>
      </c>
      <c r="M126" s="3">
        <v>1.58659884873256</v>
      </c>
      <c r="N126" s="23">
        <f>MAINTABLE[[#This Row],[Total Recovered Cases]]/MAINTABLE[[#This Row],[Confirmed Cases]]*100</f>
        <v>39.614649138838438</v>
      </c>
      <c r="O126" s="22">
        <f>MAINTABLE[[#This Row],[Total Deaths]]/MAINTABLE[[#This Row],[Confirmed Cases]]</f>
        <v>6.3166563176373258E-2</v>
      </c>
      <c r="P126" s="22" t="str">
        <f>IF(MAINTABLE[[#This Row],[New cases]]&gt;$U$4,"YES","NO")</f>
        <v>NO</v>
      </c>
    </row>
    <row r="127" spans="1:16" x14ac:dyDescent="0.35">
      <c r="A127" s="1">
        <v>43977</v>
      </c>
      <c r="B127" s="4">
        <v>5597064</v>
      </c>
      <c r="C127" s="4">
        <v>351906</v>
      </c>
      <c r="D127" s="4">
        <v>2235118</v>
      </c>
      <c r="E127" s="4">
        <v>3010040</v>
      </c>
      <c r="F127" s="4">
        <v>92742</v>
      </c>
      <c r="G127" s="4">
        <v>4203</v>
      </c>
      <c r="H127" s="4">
        <v>54513</v>
      </c>
      <c r="I127" s="4">
        <v>6</v>
      </c>
      <c r="J127" s="4">
        <v>40</v>
      </c>
      <c r="K127" s="4">
        <v>16</v>
      </c>
      <c r="L127" s="4">
        <v>187</v>
      </c>
      <c r="M127" s="4">
        <v>1.65697587163556</v>
      </c>
      <c r="N127" s="23">
        <f>MAINTABLE[[#This Row],[Total Recovered Cases]]/MAINTABLE[[#This Row],[Confirmed Cases]]*100</f>
        <v>39.933758127475407</v>
      </c>
      <c r="O127" s="22">
        <f>MAINTABLE[[#This Row],[Total Deaths]]/MAINTABLE[[#This Row],[Confirmed Cases]]</f>
        <v>6.2873320726723872E-2</v>
      </c>
      <c r="P127" s="22" t="str">
        <f>IF(MAINTABLE[[#This Row],[New cases]]&gt;$U$4,"YES","NO")</f>
        <v>NO</v>
      </c>
    </row>
    <row r="128" spans="1:16" x14ac:dyDescent="0.35">
      <c r="A128" s="1">
        <v>43978</v>
      </c>
      <c r="B128" s="3">
        <v>5699664</v>
      </c>
      <c r="C128" s="3">
        <v>357119</v>
      </c>
      <c r="D128" s="3">
        <v>2297613</v>
      </c>
      <c r="E128" s="3">
        <v>3044932</v>
      </c>
      <c r="F128" s="3">
        <v>102600</v>
      </c>
      <c r="G128" s="3">
        <v>5213</v>
      </c>
      <c r="H128" s="3">
        <v>62495</v>
      </c>
      <c r="I128" s="3">
        <v>6</v>
      </c>
      <c r="J128" s="3">
        <v>40</v>
      </c>
      <c r="K128" s="3">
        <v>16</v>
      </c>
      <c r="L128" s="3">
        <v>187</v>
      </c>
      <c r="M128" s="3">
        <v>1.80010611151815</v>
      </c>
      <c r="N128" s="23">
        <f>MAINTABLE[[#This Row],[Total Recovered Cases]]/MAINTABLE[[#This Row],[Confirmed Cases]]*100</f>
        <v>40.311376249547344</v>
      </c>
      <c r="O128" s="22">
        <f>MAINTABLE[[#This Row],[Total Deaths]]/MAINTABLE[[#This Row],[Confirmed Cases]]</f>
        <v>6.2656149555482571E-2</v>
      </c>
      <c r="P128" s="22" t="str">
        <f>IF(MAINTABLE[[#This Row],[New cases]]&gt;$U$4,"YES","NO")</f>
        <v>NO</v>
      </c>
    </row>
    <row r="129" spans="1:16" x14ac:dyDescent="0.35">
      <c r="A129" s="1">
        <v>43979</v>
      </c>
      <c r="B129" s="4">
        <v>5818978</v>
      </c>
      <c r="C129" s="4">
        <v>361820</v>
      </c>
      <c r="D129" s="4">
        <v>2363746</v>
      </c>
      <c r="E129" s="4">
        <v>3093412</v>
      </c>
      <c r="F129" s="4">
        <v>119314</v>
      </c>
      <c r="G129" s="4">
        <v>4701</v>
      </c>
      <c r="H129" s="4">
        <v>66133</v>
      </c>
      <c r="I129" s="4">
        <v>6</v>
      </c>
      <c r="J129" s="4">
        <v>41</v>
      </c>
      <c r="K129" s="4">
        <v>15</v>
      </c>
      <c r="L129" s="4">
        <v>187</v>
      </c>
      <c r="M129" s="4">
        <v>2.05042878663573</v>
      </c>
      <c r="N129" s="23">
        <f>MAINTABLE[[#This Row],[Total Recovered Cases]]/MAINTABLE[[#This Row],[Confirmed Cases]]*100</f>
        <v>40.621325600474862</v>
      </c>
      <c r="O129" s="22">
        <f>MAINTABLE[[#This Row],[Total Deaths]]/MAINTABLE[[#This Row],[Confirmed Cases]]</f>
        <v>6.2179303650916021E-2</v>
      </c>
      <c r="P129" s="22" t="str">
        <f>IF(MAINTABLE[[#This Row],[New cases]]&gt;$U$4,"YES","NO")</f>
        <v>NO</v>
      </c>
    </row>
    <row r="130" spans="1:16" x14ac:dyDescent="0.35">
      <c r="A130" s="1">
        <v>43980</v>
      </c>
      <c r="B130" s="3">
        <v>5940145</v>
      </c>
      <c r="C130" s="3">
        <v>366562</v>
      </c>
      <c r="D130" s="3">
        <v>2440127</v>
      </c>
      <c r="E130" s="3">
        <v>3133456</v>
      </c>
      <c r="F130" s="3">
        <v>121167</v>
      </c>
      <c r="G130" s="3">
        <v>4742</v>
      </c>
      <c r="H130" s="3">
        <v>76381</v>
      </c>
      <c r="I130" s="3">
        <v>6</v>
      </c>
      <c r="J130" s="3">
        <v>41</v>
      </c>
      <c r="K130" s="3">
        <v>15</v>
      </c>
      <c r="L130" s="3">
        <v>187</v>
      </c>
      <c r="M130" s="3">
        <v>2.0397986917827802</v>
      </c>
      <c r="N130" s="23">
        <f>MAINTABLE[[#This Row],[Total Recovered Cases]]/MAINTABLE[[#This Row],[Confirmed Cases]]*100</f>
        <v>41.078576364718373</v>
      </c>
      <c r="O130" s="22">
        <f>MAINTABLE[[#This Row],[Total Deaths]]/MAINTABLE[[#This Row],[Confirmed Cases]]</f>
        <v>6.170926803975324E-2</v>
      </c>
      <c r="P130" s="22" t="str">
        <f>IF(MAINTABLE[[#This Row],[New cases]]&gt;$U$4,"YES","NO")</f>
        <v>NO</v>
      </c>
    </row>
    <row r="131" spans="1:16" x14ac:dyDescent="0.35">
      <c r="A131" s="1">
        <v>43981</v>
      </c>
      <c r="B131" s="4">
        <v>6077978</v>
      </c>
      <c r="C131" s="4">
        <v>370718</v>
      </c>
      <c r="D131" s="4">
        <v>2509981</v>
      </c>
      <c r="E131" s="4">
        <v>3197279</v>
      </c>
      <c r="F131" s="4">
        <v>137833</v>
      </c>
      <c r="G131" s="4">
        <v>4156</v>
      </c>
      <c r="H131" s="4">
        <v>69854</v>
      </c>
      <c r="I131" s="4">
        <v>6</v>
      </c>
      <c r="J131" s="4">
        <v>41</v>
      </c>
      <c r="K131" s="4">
        <v>15</v>
      </c>
      <c r="L131" s="4">
        <v>187</v>
      </c>
      <c r="M131" s="4">
        <v>2.2677443057543099</v>
      </c>
      <c r="N131" s="23">
        <f>MAINTABLE[[#This Row],[Total Recovered Cases]]/MAINTABLE[[#This Row],[Confirmed Cases]]*100</f>
        <v>41.296315978767936</v>
      </c>
      <c r="O131" s="22">
        <f>MAINTABLE[[#This Row],[Total Deaths]]/MAINTABLE[[#This Row],[Confirmed Cases]]</f>
        <v>6.0993639661084655E-2</v>
      </c>
      <c r="P131" s="22" t="str">
        <f>IF(MAINTABLE[[#This Row],[New cases]]&gt;$U$4,"YES","NO")</f>
        <v>NO</v>
      </c>
    </row>
    <row r="132" spans="1:16" x14ac:dyDescent="0.35">
      <c r="A132" s="1">
        <v>43982</v>
      </c>
      <c r="B132" s="3">
        <v>6185530</v>
      </c>
      <c r="C132" s="3">
        <v>373606</v>
      </c>
      <c r="D132" s="3">
        <v>2585589</v>
      </c>
      <c r="E132" s="3">
        <v>3226335</v>
      </c>
      <c r="F132" s="3">
        <v>107552</v>
      </c>
      <c r="G132" s="3">
        <v>2888</v>
      </c>
      <c r="H132" s="3">
        <v>75608</v>
      </c>
      <c r="I132" s="3">
        <v>6</v>
      </c>
      <c r="J132" s="3">
        <v>42</v>
      </c>
      <c r="K132" s="3">
        <v>14</v>
      </c>
      <c r="L132" s="3">
        <v>187</v>
      </c>
      <c r="M132" s="3">
        <v>1.7387677369602901</v>
      </c>
      <c r="N132" s="23">
        <f>MAINTABLE[[#This Row],[Total Recovered Cases]]/MAINTABLE[[#This Row],[Confirmed Cases]]*100</f>
        <v>41.800605606956879</v>
      </c>
      <c r="O132" s="22">
        <f>MAINTABLE[[#This Row],[Total Deaths]]/MAINTABLE[[#This Row],[Confirmed Cases]]</f>
        <v>6.0399998059988393E-2</v>
      </c>
      <c r="P132" s="22" t="str">
        <f>IF(MAINTABLE[[#This Row],[New cases]]&gt;$U$4,"YES","NO")</f>
        <v>NO</v>
      </c>
    </row>
    <row r="133" spans="1:16" x14ac:dyDescent="0.35">
      <c r="A133" s="1">
        <v>43983</v>
      </c>
      <c r="B133" s="4">
        <v>6280725</v>
      </c>
      <c r="C133" s="4">
        <v>376674</v>
      </c>
      <c r="D133" s="4">
        <v>2639599</v>
      </c>
      <c r="E133" s="4">
        <v>3264452</v>
      </c>
      <c r="F133" s="4">
        <v>95195</v>
      </c>
      <c r="G133" s="4">
        <v>3068</v>
      </c>
      <c r="H133" s="4">
        <v>54010</v>
      </c>
      <c r="I133" s="4">
        <v>6</v>
      </c>
      <c r="J133" s="4">
        <v>42</v>
      </c>
      <c r="K133" s="4">
        <v>14</v>
      </c>
      <c r="L133" s="4">
        <v>187</v>
      </c>
      <c r="M133" s="4">
        <v>1.51566897133691</v>
      </c>
      <c r="N133" s="23">
        <f>MAINTABLE[[#This Row],[Total Recovered Cases]]/MAINTABLE[[#This Row],[Confirmed Cases]]*100</f>
        <v>42.026979369419934</v>
      </c>
      <c r="O133" s="22">
        <f>MAINTABLE[[#This Row],[Total Deaths]]/MAINTABLE[[#This Row],[Confirmed Cases]]</f>
        <v>5.9973012669715678E-2</v>
      </c>
      <c r="P133" s="22" t="str">
        <f>IF(MAINTABLE[[#This Row],[New cases]]&gt;$U$4,"YES","NO")</f>
        <v>NO</v>
      </c>
    </row>
    <row r="134" spans="1:16" x14ac:dyDescent="0.35">
      <c r="A134" s="1">
        <v>43984</v>
      </c>
      <c r="B134" s="3">
        <v>6401536</v>
      </c>
      <c r="C134" s="3">
        <v>381497</v>
      </c>
      <c r="D134" s="3">
        <v>2743083</v>
      </c>
      <c r="E134" s="3">
        <v>3276956</v>
      </c>
      <c r="F134" s="3">
        <v>121577</v>
      </c>
      <c r="G134" s="3">
        <v>4823</v>
      </c>
      <c r="H134" s="3">
        <v>103484</v>
      </c>
      <c r="I134" s="3">
        <v>6</v>
      </c>
      <c r="J134" s="3">
        <v>43</v>
      </c>
      <c r="K134" s="3">
        <v>14</v>
      </c>
      <c r="L134" s="3">
        <v>187</v>
      </c>
      <c r="M134" s="3">
        <v>1.8991848206430499</v>
      </c>
      <c r="N134" s="23">
        <f>MAINTABLE[[#This Row],[Total Recovered Cases]]/MAINTABLE[[#This Row],[Confirmed Cases]]*100</f>
        <v>42.850387781932334</v>
      </c>
      <c r="O134" s="22">
        <f>MAINTABLE[[#This Row],[Total Deaths]]/MAINTABLE[[#This Row],[Confirmed Cases]]</f>
        <v>5.9594603545149165E-2</v>
      </c>
      <c r="P134" s="22" t="str">
        <f>IF(MAINTABLE[[#This Row],[New cases]]&gt;$U$4,"YES","NO")</f>
        <v>NO</v>
      </c>
    </row>
    <row r="135" spans="1:16" x14ac:dyDescent="0.35">
      <c r="A135" s="1">
        <v>43985</v>
      </c>
      <c r="B135" s="4">
        <v>6520924</v>
      </c>
      <c r="C135" s="4">
        <v>387069</v>
      </c>
      <c r="D135" s="4">
        <v>2821430</v>
      </c>
      <c r="E135" s="4">
        <v>3312425</v>
      </c>
      <c r="F135" s="4">
        <v>119389</v>
      </c>
      <c r="G135" s="4">
        <v>5572</v>
      </c>
      <c r="H135" s="4">
        <v>78347</v>
      </c>
      <c r="I135" s="4">
        <v>6</v>
      </c>
      <c r="J135" s="4">
        <v>43</v>
      </c>
      <c r="K135" s="4">
        <v>14</v>
      </c>
      <c r="L135" s="4">
        <v>187</v>
      </c>
      <c r="M135" s="4">
        <v>1.83086016644267</v>
      </c>
      <c r="N135" s="23">
        <f>MAINTABLE[[#This Row],[Total Recovered Cases]]/MAINTABLE[[#This Row],[Confirmed Cases]]*100</f>
        <v>43.267334506582195</v>
      </c>
      <c r="O135" s="22">
        <f>MAINTABLE[[#This Row],[Total Deaths]]/MAINTABLE[[#This Row],[Confirmed Cases]]</f>
        <v>5.9357998958429817E-2</v>
      </c>
      <c r="P135" s="22" t="str">
        <f>IF(MAINTABLE[[#This Row],[New cases]]&gt;$U$4,"YES","NO")</f>
        <v>NO</v>
      </c>
    </row>
    <row r="136" spans="1:16" x14ac:dyDescent="0.35">
      <c r="A136" s="1">
        <v>43986</v>
      </c>
      <c r="B136" s="3">
        <v>6647861</v>
      </c>
      <c r="C136" s="3">
        <v>392218</v>
      </c>
      <c r="D136" s="3">
        <v>2890776</v>
      </c>
      <c r="E136" s="3">
        <v>3364867</v>
      </c>
      <c r="F136" s="3">
        <v>126937</v>
      </c>
      <c r="G136" s="3">
        <v>5149</v>
      </c>
      <c r="H136" s="3">
        <v>69346</v>
      </c>
      <c r="I136" s="3">
        <v>6</v>
      </c>
      <c r="J136" s="3">
        <v>43</v>
      </c>
      <c r="K136" s="3">
        <v>14</v>
      </c>
      <c r="L136" s="3">
        <v>187</v>
      </c>
      <c r="M136" s="3">
        <v>1.9094412473425699</v>
      </c>
      <c r="N136" s="23">
        <f>MAINTABLE[[#This Row],[Total Recovered Cases]]/MAINTABLE[[#This Row],[Confirmed Cases]]*100</f>
        <v>43.484302695257924</v>
      </c>
      <c r="O136" s="22">
        <f>MAINTABLE[[#This Row],[Total Deaths]]/MAINTABLE[[#This Row],[Confirmed Cases]]</f>
        <v>5.8999127689342484E-2</v>
      </c>
      <c r="P136" s="22" t="str">
        <f>IF(MAINTABLE[[#This Row],[New cases]]&gt;$U$4,"YES","NO")</f>
        <v>NO</v>
      </c>
    </row>
    <row r="137" spans="1:16" x14ac:dyDescent="0.35">
      <c r="A137" s="1">
        <v>43987</v>
      </c>
      <c r="B137" s="4">
        <v>6778724</v>
      </c>
      <c r="C137" s="4">
        <v>396994</v>
      </c>
      <c r="D137" s="4">
        <v>2959037</v>
      </c>
      <c r="E137" s="4">
        <v>3422693</v>
      </c>
      <c r="F137" s="4">
        <v>130863</v>
      </c>
      <c r="G137" s="4">
        <v>4776</v>
      </c>
      <c r="H137" s="4">
        <v>68261</v>
      </c>
      <c r="I137" s="4">
        <v>6</v>
      </c>
      <c r="J137" s="4">
        <v>44</v>
      </c>
      <c r="K137" s="4">
        <v>13</v>
      </c>
      <c r="L137" s="4">
        <v>187</v>
      </c>
      <c r="M137" s="4">
        <v>1.93049606386099</v>
      </c>
      <c r="N137" s="23">
        <f>MAINTABLE[[#This Row],[Total Recovered Cases]]/MAINTABLE[[#This Row],[Confirmed Cases]]*100</f>
        <v>43.651828869268023</v>
      </c>
      <c r="O137" s="22">
        <f>MAINTABLE[[#This Row],[Total Deaths]]/MAINTABLE[[#This Row],[Confirmed Cases]]</f>
        <v>5.8564709228462464E-2</v>
      </c>
      <c r="P137" s="22" t="str">
        <f>IF(MAINTABLE[[#This Row],[New cases]]&gt;$U$4,"YES","NO")</f>
        <v>NO</v>
      </c>
    </row>
    <row r="138" spans="1:16" x14ac:dyDescent="0.35">
      <c r="A138" s="1">
        <v>43988</v>
      </c>
      <c r="B138" s="3">
        <v>6914666</v>
      </c>
      <c r="C138" s="3">
        <v>400875</v>
      </c>
      <c r="D138" s="3">
        <v>3030214</v>
      </c>
      <c r="E138" s="3">
        <v>3483577</v>
      </c>
      <c r="F138" s="3">
        <v>135942</v>
      </c>
      <c r="G138" s="3">
        <v>3881</v>
      </c>
      <c r="H138" s="3">
        <v>71177</v>
      </c>
      <c r="I138" s="3">
        <v>6</v>
      </c>
      <c r="J138" s="3">
        <v>44</v>
      </c>
      <c r="K138" s="3">
        <v>13</v>
      </c>
      <c r="L138" s="3">
        <v>187</v>
      </c>
      <c r="M138" s="3">
        <v>1.9659951760504399</v>
      </c>
      <c r="N138" s="23">
        <f>MAINTABLE[[#This Row],[Total Recovered Cases]]/MAINTABLE[[#This Row],[Confirmed Cases]]*100</f>
        <v>43.822998825973663</v>
      </c>
      <c r="O138" s="22">
        <f>MAINTABLE[[#This Row],[Total Deaths]]/MAINTABLE[[#This Row],[Confirmed Cases]]</f>
        <v>5.7974600653162421E-2</v>
      </c>
      <c r="P138" s="22" t="str">
        <f>IF(MAINTABLE[[#This Row],[New cases]]&gt;$U$4,"YES","NO")</f>
        <v>NO</v>
      </c>
    </row>
    <row r="139" spans="1:16" x14ac:dyDescent="0.35">
      <c r="A139" s="1">
        <v>43989</v>
      </c>
      <c r="B139" s="4">
        <v>7026925</v>
      </c>
      <c r="C139" s="4">
        <v>403617</v>
      </c>
      <c r="D139" s="4">
        <v>3084718</v>
      </c>
      <c r="E139" s="4">
        <v>3538590</v>
      </c>
      <c r="F139" s="4">
        <v>112259</v>
      </c>
      <c r="G139" s="4">
        <v>2742</v>
      </c>
      <c r="H139" s="4">
        <v>54504</v>
      </c>
      <c r="I139" s="4">
        <v>6</v>
      </c>
      <c r="J139" s="4">
        <v>44</v>
      </c>
      <c r="K139" s="4">
        <v>13</v>
      </c>
      <c r="L139" s="4">
        <v>187</v>
      </c>
      <c r="M139" s="4">
        <v>1.5975551183483501</v>
      </c>
      <c r="N139" s="23">
        <f>MAINTABLE[[#This Row],[Total Recovered Cases]]/MAINTABLE[[#This Row],[Confirmed Cases]]*100</f>
        <v>43.898547373139749</v>
      </c>
      <c r="O139" s="22">
        <f>MAINTABLE[[#This Row],[Total Deaths]]/MAINTABLE[[#This Row],[Confirmed Cases]]</f>
        <v>5.7438637810991296E-2</v>
      </c>
      <c r="P139" s="22" t="str">
        <f>IF(MAINTABLE[[#This Row],[New cases]]&gt;$U$4,"YES","NO")</f>
        <v>NO</v>
      </c>
    </row>
    <row r="140" spans="1:16" x14ac:dyDescent="0.35">
      <c r="A140" s="1">
        <v>43990</v>
      </c>
      <c r="B140" s="3">
        <v>7129150</v>
      </c>
      <c r="C140" s="3">
        <v>407314</v>
      </c>
      <c r="D140" s="3">
        <v>3235640</v>
      </c>
      <c r="E140" s="3">
        <v>3486196</v>
      </c>
      <c r="F140" s="3">
        <v>102225</v>
      </c>
      <c r="G140" s="3">
        <v>3697</v>
      </c>
      <c r="H140" s="3">
        <v>150922</v>
      </c>
      <c r="I140" s="3">
        <v>6</v>
      </c>
      <c r="J140" s="3">
        <v>45</v>
      </c>
      <c r="K140" s="3">
        <v>13</v>
      </c>
      <c r="L140" s="3">
        <v>187</v>
      </c>
      <c r="M140" s="3">
        <v>1.43390165728032</v>
      </c>
      <c r="N140" s="23">
        <f>MAINTABLE[[#This Row],[Total Recovered Cases]]/MAINTABLE[[#This Row],[Confirmed Cases]]*100</f>
        <v>45.386055841159184</v>
      </c>
      <c r="O140" s="22">
        <f>MAINTABLE[[#This Row],[Total Deaths]]/MAINTABLE[[#This Row],[Confirmed Cases]]</f>
        <v>5.7133599377204858E-2</v>
      </c>
      <c r="P140" s="22" t="str">
        <f>IF(MAINTABLE[[#This Row],[New cases]]&gt;$U$4,"YES","NO")</f>
        <v>NO</v>
      </c>
    </row>
    <row r="141" spans="1:16" x14ac:dyDescent="0.35">
      <c r="A141" s="1">
        <v>43991</v>
      </c>
      <c r="B141" s="4">
        <v>7253492</v>
      </c>
      <c r="C141" s="4">
        <v>412236</v>
      </c>
      <c r="D141" s="4">
        <v>3317121</v>
      </c>
      <c r="E141" s="4">
        <v>3524135</v>
      </c>
      <c r="F141" s="4">
        <v>124342</v>
      </c>
      <c r="G141" s="4">
        <v>4922</v>
      </c>
      <c r="H141" s="4">
        <v>81481</v>
      </c>
      <c r="I141" s="4">
        <v>6</v>
      </c>
      <c r="J141" s="4">
        <v>46</v>
      </c>
      <c r="K141" s="4">
        <v>12</v>
      </c>
      <c r="L141" s="4">
        <v>187</v>
      </c>
      <c r="M141" s="4">
        <v>1.7142363981376101</v>
      </c>
      <c r="N141" s="23">
        <f>MAINTABLE[[#This Row],[Total Recovered Cases]]/MAINTABLE[[#This Row],[Confirmed Cases]]*100</f>
        <v>45.731366354302175</v>
      </c>
      <c r="O141" s="22">
        <f>MAINTABLE[[#This Row],[Total Deaths]]/MAINTABLE[[#This Row],[Confirmed Cases]]</f>
        <v>5.6832764136225698E-2</v>
      </c>
      <c r="P141" s="22" t="str">
        <f>IF(MAINTABLE[[#This Row],[New cases]]&gt;$U$4,"YES","NO")</f>
        <v>NO</v>
      </c>
    </row>
    <row r="142" spans="1:16" x14ac:dyDescent="0.35">
      <c r="A142" s="1">
        <v>43992</v>
      </c>
      <c r="B142" s="3">
        <v>7387517</v>
      </c>
      <c r="C142" s="3">
        <v>417441</v>
      </c>
      <c r="D142" s="3">
        <v>3395154</v>
      </c>
      <c r="E142" s="3">
        <v>3574922</v>
      </c>
      <c r="F142" s="3">
        <v>134025</v>
      </c>
      <c r="G142" s="3">
        <v>5205</v>
      </c>
      <c r="H142" s="3">
        <v>78033</v>
      </c>
      <c r="I142" s="3">
        <v>6</v>
      </c>
      <c r="J142" s="3">
        <v>46</v>
      </c>
      <c r="K142" s="3">
        <v>12</v>
      </c>
      <c r="L142" s="3">
        <v>187</v>
      </c>
      <c r="M142" s="3">
        <v>1.8142090231399799</v>
      </c>
      <c r="N142" s="23">
        <f>MAINTABLE[[#This Row],[Total Recovered Cases]]/MAINTABLE[[#This Row],[Confirmed Cases]]*100</f>
        <v>45.957985612757298</v>
      </c>
      <c r="O142" s="22">
        <f>MAINTABLE[[#This Row],[Total Deaths]]/MAINTABLE[[#This Row],[Confirmed Cases]]</f>
        <v>5.6506265907746808E-2</v>
      </c>
      <c r="P142" s="22" t="str">
        <f>IF(MAINTABLE[[#This Row],[New cases]]&gt;$U$4,"YES","NO")</f>
        <v>NO</v>
      </c>
    </row>
    <row r="143" spans="1:16" x14ac:dyDescent="0.35">
      <c r="A143" s="1">
        <v>43993</v>
      </c>
      <c r="B143" s="4">
        <v>7525631</v>
      </c>
      <c r="C143" s="4">
        <v>422215</v>
      </c>
      <c r="D143" s="4">
        <v>3480121</v>
      </c>
      <c r="E143" s="4">
        <v>3623295</v>
      </c>
      <c r="F143" s="4">
        <v>138114</v>
      </c>
      <c r="G143" s="4">
        <v>4774</v>
      </c>
      <c r="H143" s="4">
        <v>84967</v>
      </c>
      <c r="I143" s="4">
        <v>6</v>
      </c>
      <c r="J143" s="4">
        <v>46</v>
      </c>
      <c r="K143" s="4">
        <v>12</v>
      </c>
      <c r="L143" s="4">
        <v>187</v>
      </c>
      <c r="M143" s="4">
        <v>1.83524810079048</v>
      </c>
      <c r="N143" s="23">
        <f>MAINTABLE[[#This Row],[Total Recovered Cases]]/MAINTABLE[[#This Row],[Confirmed Cases]]*100</f>
        <v>46.243577448854452</v>
      </c>
      <c r="O143" s="22">
        <f>MAINTABLE[[#This Row],[Total Deaths]]/MAINTABLE[[#This Row],[Confirmed Cases]]</f>
        <v>5.6103601146535086E-2</v>
      </c>
      <c r="P143" s="22" t="str">
        <f>IF(MAINTABLE[[#This Row],[New cases]]&gt;$U$4,"YES","NO")</f>
        <v>NO</v>
      </c>
    </row>
    <row r="144" spans="1:16" x14ac:dyDescent="0.35">
      <c r="A144" s="1">
        <v>43994</v>
      </c>
      <c r="B144" s="3">
        <v>7654725</v>
      </c>
      <c r="C144" s="3">
        <v>426512</v>
      </c>
      <c r="D144" s="3">
        <v>3558933</v>
      </c>
      <c r="E144" s="3">
        <v>3669280</v>
      </c>
      <c r="F144" s="3">
        <v>129094</v>
      </c>
      <c r="G144" s="3">
        <v>4297</v>
      </c>
      <c r="H144" s="3">
        <v>78812</v>
      </c>
      <c r="I144" s="3">
        <v>6</v>
      </c>
      <c r="J144" s="3">
        <v>46</v>
      </c>
      <c r="K144" s="3">
        <v>12</v>
      </c>
      <c r="L144" s="3">
        <v>187</v>
      </c>
      <c r="M144" s="3">
        <v>1.6864616299083199</v>
      </c>
      <c r="N144" s="23">
        <f>MAINTABLE[[#This Row],[Total Recovered Cases]]/MAINTABLE[[#This Row],[Confirmed Cases]]*100</f>
        <v>46.493283560154026</v>
      </c>
      <c r="O144" s="22">
        <f>MAINTABLE[[#This Row],[Total Deaths]]/MAINTABLE[[#This Row],[Confirmed Cases]]</f>
        <v>5.5718788068807173E-2</v>
      </c>
      <c r="P144" s="22" t="str">
        <f>IF(MAINTABLE[[#This Row],[New cases]]&gt;$U$4,"YES","NO")</f>
        <v>NO</v>
      </c>
    </row>
    <row r="145" spans="1:16" x14ac:dyDescent="0.35">
      <c r="A145" s="1">
        <v>43995</v>
      </c>
      <c r="B145" s="4">
        <v>7790735</v>
      </c>
      <c r="C145" s="4">
        <v>430750</v>
      </c>
      <c r="D145" s="4">
        <v>3644048</v>
      </c>
      <c r="E145" s="4">
        <v>3715937</v>
      </c>
      <c r="F145" s="4">
        <v>136010</v>
      </c>
      <c r="G145" s="4">
        <v>4238</v>
      </c>
      <c r="H145" s="4">
        <v>85115</v>
      </c>
      <c r="I145" s="4">
        <v>6</v>
      </c>
      <c r="J145" s="4">
        <v>47</v>
      </c>
      <c r="K145" s="4">
        <v>12</v>
      </c>
      <c r="L145" s="4">
        <v>187</v>
      </c>
      <c r="M145" s="4">
        <v>1.7457916358340999</v>
      </c>
      <c r="N145" s="23">
        <f>MAINTABLE[[#This Row],[Total Recovered Cases]]/MAINTABLE[[#This Row],[Confirmed Cases]]*100</f>
        <v>46.774123365767153</v>
      </c>
      <c r="O145" s="22">
        <f>MAINTABLE[[#This Row],[Total Deaths]]/MAINTABLE[[#This Row],[Confirmed Cases]]</f>
        <v>5.5290033610435989E-2</v>
      </c>
      <c r="P145" s="22" t="str">
        <f>IF(MAINTABLE[[#This Row],[New cases]]&gt;$U$4,"YES","NO")</f>
        <v>NO</v>
      </c>
    </row>
    <row r="146" spans="1:16" x14ac:dyDescent="0.35">
      <c r="A146" s="1">
        <v>43996</v>
      </c>
      <c r="B146" s="3">
        <v>7924156</v>
      </c>
      <c r="C146" s="3">
        <v>434124</v>
      </c>
      <c r="D146" s="3">
        <v>3714006</v>
      </c>
      <c r="E146" s="3">
        <v>3776026</v>
      </c>
      <c r="F146" s="3">
        <v>133421</v>
      </c>
      <c r="G146" s="3">
        <v>3374</v>
      </c>
      <c r="H146" s="3">
        <v>69958</v>
      </c>
      <c r="I146" s="3">
        <v>5</v>
      </c>
      <c r="J146" s="3">
        <v>47</v>
      </c>
      <c r="K146" s="3">
        <v>12</v>
      </c>
      <c r="L146" s="3">
        <v>187</v>
      </c>
      <c r="M146" s="3">
        <v>1.6837250553876</v>
      </c>
      <c r="N146" s="23">
        <f>MAINTABLE[[#This Row],[Total Recovered Cases]]/MAINTABLE[[#This Row],[Confirmed Cases]]*100</f>
        <v>46.869420541443155</v>
      </c>
      <c r="O146" s="22">
        <f>MAINTABLE[[#This Row],[Total Deaths]]/MAINTABLE[[#This Row],[Confirmed Cases]]</f>
        <v>5.4784888131934807E-2</v>
      </c>
      <c r="P146" s="22" t="str">
        <f>IF(MAINTABLE[[#This Row],[New cases]]&gt;$U$4,"YES","NO")</f>
        <v>NO</v>
      </c>
    </row>
    <row r="147" spans="1:16" x14ac:dyDescent="0.35">
      <c r="A147" s="1">
        <v>43997</v>
      </c>
      <c r="B147" s="4">
        <v>8043794</v>
      </c>
      <c r="C147" s="4">
        <v>437549</v>
      </c>
      <c r="D147" s="4">
        <v>3793406</v>
      </c>
      <c r="E147" s="4">
        <v>3812839</v>
      </c>
      <c r="F147" s="4">
        <v>119638</v>
      </c>
      <c r="G147" s="4">
        <v>3425</v>
      </c>
      <c r="H147" s="4">
        <v>79400</v>
      </c>
      <c r="I147" s="4">
        <v>5</v>
      </c>
      <c r="J147" s="4">
        <v>47</v>
      </c>
      <c r="K147" s="4">
        <v>12</v>
      </c>
      <c r="L147" s="4">
        <v>187</v>
      </c>
      <c r="M147" s="4">
        <v>1.4873329675026501</v>
      </c>
      <c r="N147" s="23">
        <f>MAINTABLE[[#This Row],[Total Recovered Cases]]/MAINTABLE[[#This Row],[Confirmed Cases]]*100</f>
        <v>47.159412585652987</v>
      </c>
      <c r="O147" s="22">
        <f>MAINTABLE[[#This Row],[Total Deaths]]/MAINTABLE[[#This Row],[Confirmed Cases]]</f>
        <v>5.4395848526205423E-2</v>
      </c>
      <c r="P147" s="22" t="str">
        <f>IF(MAINTABLE[[#This Row],[New cases]]&gt;$U$4,"YES","NO")</f>
        <v>NO</v>
      </c>
    </row>
    <row r="148" spans="1:16" x14ac:dyDescent="0.35">
      <c r="A148" s="1">
        <v>43998</v>
      </c>
      <c r="B148" s="3">
        <v>8185197</v>
      </c>
      <c r="C148" s="3">
        <v>444416</v>
      </c>
      <c r="D148" s="3">
        <v>3890800</v>
      </c>
      <c r="E148" s="3">
        <v>3849981</v>
      </c>
      <c r="F148" s="3">
        <v>141403</v>
      </c>
      <c r="G148" s="3">
        <v>6867</v>
      </c>
      <c r="H148" s="3">
        <v>97394</v>
      </c>
      <c r="I148" s="3">
        <v>5</v>
      </c>
      <c r="J148" s="3">
        <v>48</v>
      </c>
      <c r="K148" s="3">
        <v>11</v>
      </c>
      <c r="L148" s="3">
        <v>187</v>
      </c>
      <c r="M148" s="3">
        <v>1.7275454701945501</v>
      </c>
      <c r="N148" s="23">
        <f>MAINTABLE[[#This Row],[Total Recovered Cases]]/MAINTABLE[[#This Row],[Confirmed Cases]]*100</f>
        <v>47.534592020204279</v>
      </c>
      <c r="O148" s="22">
        <f>MAINTABLE[[#This Row],[Total Deaths]]/MAINTABLE[[#This Row],[Confirmed Cases]]</f>
        <v>5.4295089049170103E-2</v>
      </c>
      <c r="P148" s="22" t="str">
        <f>IF(MAINTABLE[[#This Row],[New cases]]&gt;$U$4,"YES","NO")</f>
        <v>NO</v>
      </c>
    </row>
    <row r="149" spans="1:16" x14ac:dyDescent="0.35">
      <c r="A149" s="1">
        <v>43999</v>
      </c>
      <c r="B149" s="4">
        <v>8327050</v>
      </c>
      <c r="C149" s="4">
        <v>449671</v>
      </c>
      <c r="D149" s="4">
        <v>4008201</v>
      </c>
      <c r="E149" s="4">
        <v>3869178</v>
      </c>
      <c r="F149" s="4">
        <v>141853</v>
      </c>
      <c r="G149" s="4">
        <v>5255</v>
      </c>
      <c r="H149" s="4">
        <v>117401</v>
      </c>
      <c r="I149" s="4">
        <v>5</v>
      </c>
      <c r="J149" s="4">
        <v>48</v>
      </c>
      <c r="K149" s="4">
        <v>11</v>
      </c>
      <c r="L149" s="4">
        <v>187</v>
      </c>
      <c r="M149" s="4">
        <v>1.7035204544226299</v>
      </c>
      <c r="N149" s="23">
        <f>MAINTABLE[[#This Row],[Total Recovered Cases]]/MAINTABLE[[#This Row],[Confirmed Cases]]*100</f>
        <v>48.134705567998267</v>
      </c>
      <c r="O149" s="22">
        <f>MAINTABLE[[#This Row],[Total Deaths]]/MAINTABLE[[#This Row],[Confirmed Cases]]</f>
        <v>5.4001236932647217E-2</v>
      </c>
      <c r="P149" s="22" t="str">
        <f>IF(MAINTABLE[[#This Row],[New cases]]&gt;$U$4,"YES","NO")</f>
        <v>NO</v>
      </c>
    </row>
    <row r="150" spans="1:16" x14ac:dyDescent="0.35">
      <c r="A150" s="1">
        <v>44000</v>
      </c>
      <c r="B150" s="3">
        <v>8466978</v>
      </c>
      <c r="C150" s="3">
        <v>454700</v>
      </c>
      <c r="D150" s="3">
        <v>4088826</v>
      </c>
      <c r="E150" s="3">
        <v>3923452</v>
      </c>
      <c r="F150" s="3">
        <v>139928</v>
      </c>
      <c r="G150" s="3">
        <v>5029</v>
      </c>
      <c r="H150" s="3">
        <v>80625</v>
      </c>
      <c r="I150" s="3">
        <v>5</v>
      </c>
      <c r="J150" s="3">
        <v>48</v>
      </c>
      <c r="K150" s="3">
        <v>11</v>
      </c>
      <c r="L150" s="3">
        <v>187</v>
      </c>
      <c r="M150" s="3">
        <v>1.6526321433692199</v>
      </c>
      <c r="N150" s="23">
        <f>MAINTABLE[[#This Row],[Total Recovered Cases]]/MAINTABLE[[#This Row],[Confirmed Cases]]*100</f>
        <v>48.291444716166737</v>
      </c>
      <c r="O150" s="22">
        <f>MAINTABLE[[#This Row],[Total Deaths]]/MAINTABLE[[#This Row],[Confirmed Cases]]</f>
        <v>5.3702749670543608E-2</v>
      </c>
      <c r="P150" s="22" t="str">
        <f>IF(MAINTABLE[[#This Row],[New cases]]&gt;$U$4,"YES","NO")</f>
        <v>NO</v>
      </c>
    </row>
    <row r="151" spans="1:16" x14ac:dyDescent="0.35">
      <c r="A151" s="1">
        <v>44001</v>
      </c>
      <c r="B151" s="4">
        <v>8647784</v>
      </c>
      <c r="C151" s="4">
        <v>460973</v>
      </c>
      <c r="D151" s="4">
        <v>4183298</v>
      </c>
      <c r="E151" s="4">
        <v>4003513</v>
      </c>
      <c r="F151" s="4">
        <v>180954</v>
      </c>
      <c r="G151" s="4">
        <v>6273</v>
      </c>
      <c r="H151" s="4">
        <v>94472</v>
      </c>
      <c r="I151" s="4">
        <v>5</v>
      </c>
      <c r="J151" s="4">
        <v>48</v>
      </c>
      <c r="K151" s="4">
        <v>11</v>
      </c>
      <c r="L151" s="4">
        <v>187</v>
      </c>
      <c r="M151" s="4">
        <v>2.0924898216699201</v>
      </c>
      <c r="N151" s="23">
        <f>MAINTABLE[[#This Row],[Total Recovered Cases]]/MAINTABLE[[#This Row],[Confirmed Cases]]*100</f>
        <v>48.374219337578275</v>
      </c>
      <c r="O151" s="22">
        <f>MAINTABLE[[#This Row],[Total Deaths]]/MAINTABLE[[#This Row],[Confirmed Cases]]</f>
        <v>5.3305332325599253E-2</v>
      </c>
      <c r="P151" s="22" t="str">
        <f>IF(MAINTABLE[[#This Row],[New cases]]&gt;$U$4,"YES","NO")</f>
        <v>NO</v>
      </c>
    </row>
    <row r="152" spans="1:16" x14ac:dyDescent="0.35">
      <c r="A152" s="1">
        <v>44002</v>
      </c>
      <c r="B152" s="3">
        <v>8805336</v>
      </c>
      <c r="C152" s="3">
        <v>465222</v>
      </c>
      <c r="D152" s="3">
        <v>4298603</v>
      </c>
      <c r="E152" s="3">
        <v>4041511</v>
      </c>
      <c r="F152" s="3">
        <v>157552</v>
      </c>
      <c r="G152" s="3">
        <v>4249</v>
      </c>
      <c r="H152" s="3">
        <v>115305</v>
      </c>
      <c r="I152" s="3">
        <v>5</v>
      </c>
      <c r="J152" s="3">
        <v>49</v>
      </c>
      <c r="K152" s="3">
        <v>11</v>
      </c>
      <c r="L152" s="3">
        <v>187</v>
      </c>
      <c r="M152" s="3">
        <v>1.78927868283504</v>
      </c>
      <c r="N152" s="23">
        <f>MAINTABLE[[#This Row],[Total Recovered Cases]]/MAINTABLE[[#This Row],[Confirmed Cases]]*100</f>
        <v>48.818159806735373</v>
      </c>
      <c r="O152" s="22">
        <f>MAINTABLE[[#This Row],[Total Deaths]]/MAINTABLE[[#This Row],[Confirmed Cases]]</f>
        <v>5.2834099686826258E-2</v>
      </c>
      <c r="P152" s="22" t="str">
        <f>IF(MAINTABLE[[#This Row],[New cases]]&gt;$U$4,"YES","NO")</f>
        <v>NO</v>
      </c>
    </row>
    <row r="153" spans="1:16" x14ac:dyDescent="0.35">
      <c r="A153" s="1">
        <v>44003</v>
      </c>
      <c r="B153" s="4">
        <v>8933875</v>
      </c>
      <c r="C153" s="4">
        <v>469185</v>
      </c>
      <c r="D153" s="4">
        <v>4366875</v>
      </c>
      <c r="E153" s="4">
        <v>4097815</v>
      </c>
      <c r="F153" s="4">
        <v>128539</v>
      </c>
      <c r="G153" s="4">
        <v>3963</v>
      </c>
      <c r="H153" s="4">
        <v>68272</v>
      </c>
      <c r="I153" s="4">
        <v>5</v>
      </c>
      <c r="J153" s="4">
        <v>49</v>
      </c>
      <c r="K153" s="4">
        <v>11</v>
      </c>
      <c r="L153" s="4">
        <v>187</v>
      </c>
      <c r="M153" s="4">
        <v>1.43878216339494</v>
      </c>
      <c r="N153" s="23">
        <f>MAINTABLE[[#This Row],[Total Recovered Cases]]/MAINTABLE[[#This Row],[Confirmed Cases]]*100</f>
        <v>48.879965300611438</v>
      </c>
      <c r="O153" s="22">
        <f>MAINTABLE[[#This Row],[Total Deaths]]/MAINTABLE[[#This Row],[Confirmed Cases]]</f>
        <v>5.2517524590393307E-2</v>
      </c>
      <c r="P153" s="22" t="str">
        <f>IF(MAINTABLE[[#This Row],[New cases]]&gt;$U$4,"YES","NO")</f>
        <v>NO</v>
      </c>
    </row>
    <row r="154" spans="1:16" x14ac:dyDescent="0.35">
      <c r="A154" s="1">
        <v>44004</v>
      </c>
      <c r="B154" s="3">
        <v>9071733</v>
      </c>
      <c r="C154" s="3">
        <v>472756</v>
      </c>
      <c r="D154" s="3">
        <v>4458093</v>
      </c>
      <c r="E154" s="3">
        <v>4140884</v>
      </c>
      <c r="F154" s="3">
        <v>137858</v>
      </c>
      <c r="G154" s="3">
        <v>3571</v>
      </c>
      <c r="H154" s="3">
        <v>91218</v>
      </c>
      <c r="I154" s="3">
        <v>5</v>
      </c>
      <c r="J154" s="3">
        <v>49</v>
      </c>
      <c r="K154" s="3">
        <v>11</v>
      </c>
      <c r="L154" s="3">
        <v>187</v>
      </c>
      <c r="M154" s="3">
        <v>1.5196434903893199</v>
      </c>
      <c r="N154" s="23">
        <f>MAINTABLE[[#This Row],[Total Recovered Cases]]/MAINTABLE[[#This Row],[Confirmed Cases]]*100</f>
        <v>49.142683101453713</v>
      </c>
      <c r="O154" s="22">
        <f>MAINTABLE[[#This Row],[Total Deaths]]/MAINTABLE[[#This Row],[Confirmed Cases]]</f>
        <v>5.2113085779751232E-2</v>
      </c>
      <c r="P154" s="22" t="str">
        <f>IF(MAINTABLE[[#This Row],[New cases]]&gt;$U$4,"YES","NO")</f>
        <v>NO</v>
      </c>
    </row>
    <row r="155" spans="1:16" x14ac:dyDescent="0.35">
      <c r="A155" s="1">
        <v>44005</v>
      </c>
      <c r="B155" s="4">
        <v>9237071</v>
      </c>
      <c r="C155" s="4">
        <v>478067</v>
      </c>
      <c r="D155" s="4">
        <v>4561696</v>
      </c>
      <c r="E155" s="4">
        <v>4197308</v>
      </c>
      <c r="F155" s="4">
        <v>165338</v>
      </c>
      <c r="G155" s="4">
        <v>5311</v>
      </c>
      <c r="H155" s="4">
        <v>103603</v>
      </c>
      <c r="I155" s="4">
        <v>5</v>
      </c>
      <c r="J155" s="4">
        <v>49</v>
      </c>
      <c r="K155" s="4">
        <v>10</v>
      </c>
      <c r="L155" s="4">
        <v>187</v>
      </c>
      <c r="M155" s="4">
        <v>1.78993968975663</v>
      </c>
      <c r="N155" s="23">
        <f>MAINTABLE[[#This Row],[Total Recovered Cases]]/MAINTABLE[[#This Row],[Confirmed Cases]]*100</f>
        <v>49.384658838283265</v>
      </c>
      <c r="O155" s="22">
        <f>MAINTABLE[[#This Row],[Total Deaths]]/MAINTABLE[[#This Row],[Confirmed Cases]]</f>
        <v>5.1755258782789478E-2</v>
      </c>
      <c r="P155" s="22" t="str">
        <f>IF(MAINTABLE[[#This Row],[New cases]]&gt;$U$4,"YES","NO")</f>
        <v>NO</v>
      </c>
    </row>
    <row r="156" spans="1:16" x14ac:dyDescent="0.35">
      <c r="A156" s="1">
        <v>44006</v>
      </c>
      <c r="B156" s="3">
        <v>9408254</v>
      </c>
      <c r="C156" s="3">
        <v>483328</v>
      </c>
      <c r="D156" s="3">
        <v>4677005</v>
      </c>
      <c r="E156" s="3">
        <v>4247921</v>
      </c>
      <c r="F156" s="3">
        <v>171183</v>
      </c>
      <c r="G156" s="3">
        <v>5261</v>
      </c>
      <c r="H156" s="3">
        <v>115309</v>
      </c>
      <c r="I156" s="3">
        <v>5</v>
      </c>
      <c r="J156" s="3">
        <v>50</v>
      </c>
      <c r="K156" s="3">
        <v>10</v>
      </c>
      <c r="L156" s="3">
        <v>187</v>
      </c>
      <c r="M156" s="3">
        <v>1.81949807052403</v>
      </c>
      <c r="N156" s="23">
        <f>MAINTABLE[[#This Row],[Total Recovered Cases]]/MAINTABLE[[#This Row],[Confirmed Cases]]*100</f>
        <v>49.711721218410979</v>
      </c>
      <c r="O156" s="22">
        <f>MAINTABLE[[#This Row],[Total Deaths]]/MAINTABLE[[#This Row],[Confirmed Cases]]</f>
        <v>5.1372762682640155E-2</v>
      </c>
      <c r="P156" s="22" t="str">
        <f>IF(MAINTABLE[[#This Row],[New cases]]&gt;$U$4,"YES","NO")</f>
        <v>NO</v>
      </c>
    </row>
    <row r="157" spans="1:16" x14ac:dyDescent="0.35">
      <c r="A157" s="1">
        <v>44007</v>
      </c>
      <c r="B157" s="4">
        <v>9586141</v>
      </c>
      <c r="C157" s="4">
        <v>489955</v>
      </c>
      <c r="D157" s="4">
        <v>4769458</v>
      </c>
      <c r="E157" s="4">
        <v>4326728</v>
      </c>
      <c r="F157" s="4">
        <v>177887</v>
      </c>
      <c r="G157" s="4">
        <v>6627</v>
      </c>
      <c r="H157" s="4">
        <v>92453</v>
      </c>
      <c r="I157" s="4">
        <v>5</v>
      </c>
      <c r="J157" s="4">
        <v>50</v>
      </c>
      <c r="K157" s="4">
        <v>10</v>
      </c>
      <c r="L157" s="4">
        <v>187</v>
      </c>
      <c r="M157" s="4">
        <v>1.8556685114479301</v>
      </c>
      <c r="N157" s="23">
        <f>MAINTABLE[[#This Row],[Total Recovered Cases]]/MAINTABLE[[#This Row],[Confirmed Cases]]*100</f>
        <v>49.753680860734264</v>
      </c>
      <c r="O157" s="22">
        <f>MAINTABLE[[#This Row],[Total Deaths]]/MAINTABLE[[#This Row],[Confirmed Cases]]</f>
        <v>5.1110765009611273E-2</v>
      </c>
      <c r="P157" s="22" t="str">
        <f>IF(MAINTABLE[[#This Row],[New cases]]&gt;$U$4,"YES","NO")</f>
        <v>NO</v>
      </c>
    </row>
    <row r="158" spans="1:16" x14ac:dyDescent="0.35">
      <c r="A158" s="1">
        <v>44008</v>
      </c>
      <c r="B158" s="3">
        <v>9777487</v>
      </c>
      <c r="C158" s="3">
        <v>494782</v>
      </c>
      <c r="D158" s="3">
        <v>4875774</v>
      </c>
      <c r="E158" s="3">
        <v>4406931</v>
      </c>
      <c r="F158" s="3">
        <v>191346</v>
      </c>
      <c r="G158" s="3">
        <v>4827</v>
      </c>
      <c r="H158" s="3">
        <v>106316</v>
      </c>
      <c r="I158" s="3">
        <v>5</v>
      </c>
      <c r="J158" s="3">
        <v>50</v>
      </c>
      <c r="K158" s="3">
        <v>10</v>
      </c>
      <c r="L158" s="3">
        <v>187</v>
      </c>
      <c r="M158" s="3">
        <v>1.9570059259603201</v>
      </c>
      <c r="N158" s="23">
        <f>MAINTABLE[[#This Row],[Total Recovered Cases]]/MAINTABLE[[#This Row],[Confirmed Cases]]*100</f>
        <v>49.867353441635871</v>
      </c>
      <c r="O158" s="22">
        <f>MAINTABLE[[#This Row],[Total Deaths]]/MAINTABLE[[#This Row],[Confirmed Cases]]</f>
        <v>5.0604209445637718E-2</v>
      </c>
      <c r="P158" s="22" t="str">
        <f>IF(MAINTABLE[[#This Row],[New cases]]&gt;$U$4,"YES","NO")</f>
        <v>NO</v>
      </c>
    </row>
    <row r="159" spans="1:16" x14ac:dyDescent="0.35">
      <c r="A159" s="1">
        <v>44009</v>
      </c>
      <c r="B159" s="4">
        <v>9955597</v>
      </c>
      <c r="C159" s="4">
        <v>499268</v>
      </c>
      <c r="D159" s="4">
        <v>4981808</v>
      </c>
      <c r="E159" s="4">
        <v>4474521</v>
      </c>
      <c r="F159" s="4">
        <v>178110</v>
      </c>
      <c r="G159" s="4">
        <v>4486</v>
      </c>
      <c r="H159" s="4">
        <v>106034</v>
      </c>
      <c r="I159" s="4">
        <v>5</v>
      </c>
      <c r="J159" s="4">
        <v>50</v>
      </c>
      <c r="K159" s="4">
        <v>10</v>
      </c>
      <c r="L159" s="4">
        <v>187</v>
      </c>
      <c r="M159" s="4">
        <v>1.7890438915918401</v>
      </c>
      <c r="N159" s="23">
        <f>MAINTABLE[[#This Row],[Total Recovered Cases]]/MAINTABLE[[#This Row],[Confirmed Cases]]*100</f>
        <v>50.040273827877925</v>
      </c>
      <c r="O159" s="22">
        <f>MAINTABLE[[#This Row],[Total Deaths]]/MAINTABLE[[#This Row],[Confirmed Cases]]</f>
        <v>5.0149478730406621E-2</v>
      </c>
      <c r="P159" s="22" t="str">
        <f>IF(MAINTABLE[[#This Row],[New cases]]&gt;$U$4,"YES","NO")</f>
        <v>NO</v>
      </c>
    </row>
    <row r="160" spans="1:16" x14ac:dyDescent="0.35">
      <c r="A160" s="1">
        <v>44010</v>
      </c>
      <c r="B160" s="3">
        <v>10117227</v>
      </c>
      <c r="C160" s="3">
        <v>502357</v>
      </c>
      <c r="D160" s="3">
        <v>5070592</v>
      </c>
      <c r="E160" s="3">
        <v>4544278</v>
      </c>
      <c r="F160" s="3">
        <v>162349</v>
      </c>
      <c r="G160" s="3">
        <v>3089</v>
      </c>
      <c r="H160" s="3">
        <v>88784</v>
      </c>
      <c r="I160" s="3">
        <v>5</v>
      </c>
      <c r="J160" s="3">
        <v>50</v>
      </c>
      <c r="K160" s="3">
        <v>10</v>
      </c>
      <c r="L160" s="3">
        <v>187</v>
      </c>
      <c r="M160" s="3">
        <v>1.6046788314624201</v>
      </c>
      <c r="N160" s="23">
        <f>MAINTABLE[[#This Row],[Total Recovered Cases]]/MAINTABLE[[#This Row],[Confirmed Cases]]*100</f>
        <v>50.118397066706123</v>
      </c>
      <c r="O160" s="22">
        <f>MAINTABLE[[#This Row],[Total Deaths]]/MAINTABLE[[#This Row],[Confirmed Cases]]</f>
        <v>4.9653625444995943E-2</v>
      </c>
      <c r="P160" s="22" t="str">
        <f>IF(MAINTABLE[[#This Row],[New cases]]&gt;$U$4,"YES","NO")</f>
        <v>NO</v>
      </c>
    </row>
    <row r="161" spans="1:16" x14ac:dyDescent="0.35">
      <c r="A161" s="1">
        <v>44011</v>
      </c>
      <c r="B161" s="4">
        <v>10275799</v>
      </c>
      <c r="C161" s="4">
        <v>506078</v>
      </c>
      <c r="D161" s="4">
        <v>5164494</v>
      </c>
      <c r="E161" s="4">
        <v>4605227</v>
      </c>
      <c r="F161" s="4">
        <v>158572</v>
      </c>
      <c r="G161" s="4">
        <v>3721</v>
      </c>
      <c r="H161" s="4">
        <v>93902</v>
      </c>
      <c r="I161" s="4">
        <v>5</v>
      </c>
      <c r="J161" s="4">
        <v>50</v>
      </c>
      <c r="K161" s="4">
        <v>10</v>
      </c>
      <c r="L161" s="4">
        <v>187</v>
      </c>
      <c r="M161" s="4">
        <v>1.5431598068432399</v>
      </c>
      <c r="N161" s="23">
        <f>MAINTABLE[[#This Row],[Total Recovered Cases]]/MAINTABLE[[#This Row],[Confirmed Cases]]*100</f>
        <v>50.258807125363191</v>
      </c>
      <c r="O161" s="22">
        <f>MAINTABLE[[#This Row],[Total Deaths]]/MAINTABLE[[#This Row],[Confirmed Cases]]</f>
        <v>4.9249503615241989E-2</v>
      </c>
      <c r="P161" s="22" t="str">
        <f>IF(MAINTABLE[[#This Row],[New cases]]&gt;$U$4,"YES","NO")</f>
        <v>NO</v>
      </c>
    </row>
    <row r="162" spans="1:16" x14ac:dyDescent="0.35">
      <c r="A162" s="1">
        <v>44012</v>
      </c>
      <c r="B162" s="3">
        <v>10449697</v>
      </c>
      <c r="C162" s="3">
        <v>511210</v>
      </c>
      <c r="D162" s="3">
        <v>5281459</v>
      </c>
      <c r="E162" s="3">
        <v>4657028</v>
      </c>
      <c r="F162" s="3">
        <v>173898</v>
      </c>
      <c r="G162" s="3">
        <v>5132</v>
      </c>
      <c r="H162" s="3">
        <v>116965</v>
      </c>
      <c r="I162" s="3">
        <v>5</v>
      </c>
      <c r="J162" s="3">
        <v>51</v>
      </c>
      <c r="K162" s="3">
        <v>10</v>
      </c>
      <c r="L162" s="3">
        <v>187</v>
      </c>
      <c r="M162" s="3">
        <v>1.6641439459919301</v>
      </c>
      <c r="N162" s="23">
        <f>MAINTABLE[[#This Row],[Total Recovered Cases]]/MAINTABLE[[#This Row],[Confirmed Cases]]*100</f>
        <v>50.541742980681633</v>
      </c>
      <c r="O162" s="22">
        <f>MAINTABLE[[#This Row],[Total Deaths]]/MAINTABLE[[#This Row],[Confirmed Cases]]</f>
        <v>4.8921035700843767E-2</v>
      </c>
      <c r="P162" s="22" t="str">
        <f>IF(MAINTABLE[[#This Row],[New cases]]&gt;$U$4,"YES","NO")</f>
        <v>NO</v>
      </c>
    </row>
    <row r="163" spans="1:16" x14ac:dyDescent="0.35">
      <c r="A163" s="1">
        <v>44013</v>
      </c>
      <c r="B163" s="4">
        <v>10667386</v>
      </c>
      <c r="C163" s="4">
        <v>516221</v>
      </c>
      <c r="D163" s="4">
        <v>5397083</v>
      </c>
      <c r="E163" s="4">
        <v>4754082</v>
      </c>
      <c r="F163" s="4">
        <v>217689</v>
      </c>
      <c r="G163" s="4">
        <v>5011</v>
      </c>
      <c r="H163" s="4">
        <v>115624</v>
      </c>
      <c r="I163" s="4">
        <v>5</v>
      </c>
      <c r="J163" s="4">
        <v>51</v>
      </c>
      <c r="K163" s="4">
        <v>10</v>
      </c>
      <c r="L163" s="4">
        <v>187</v>
      </c>
      <c r="M163" s="4">
        <v>2.0406967555125499</v>
      </c>
      <c r="N163" s="23">
        <f>MAINTABLE[[#This Row],[Total Recovered Cases]]/MAINTABLE[[#This Row],[Confirmed Cases]]*100</f>
        <v>50.594241175860702</v>
      </c>
      <c r="O163" s="22">
        <f>MAINTABLE[[#This Row],[Total Deaths]]/MAINTABLE[[#This Row],[Confirmed Cases]]</f>
        <v>4.8392455283796799E-2</v>
      </c>
      <c r="P163" s="22" t="str">
        <f>IF(MAINTABLE[[#This Row],[New cases]]&gt;$U$4,"YES","NO")</f>
        <v>YES</v>
      </c>
    </row>
    <row r="164" spans="1:16" x14ac:dyDescent="0.35">
      <c r="A164" s="1">
        <v>44014</v>
      </c>
      <c r="B164" s="3">
        <v>10875091</v>
      </c>
      <c r="C164" s="3">
        <v>521341</v>
      </c>
      <c r="D164" s="3">
        <v>5681477</v>
      </c>
      <c r="E164" s="3">
        <v>4672273</v>
      </c>
      <c r="F164" s="3">
        <v>207705</v>
      </c>
      <c r="G164" s="3">
        <v>5120</v>
      </c>
      <c r="H164" s="3">
        <v>284394</v>
      </c>
      <c r="I164" s="3">
        <v>5</v>
      </c>
      <c r="J164" s="3">
        <v>52</v>
      </c>
      <c r="K164" s="3">
        <v>9</v>
      </c>
      <c r="L164" s="3">
        <v>187</v>
      </c>
      <c r="M164" s="3">
        <v>1.9099150526648501</v>
      </c>
      <c r="N164" s="23">
        <f>MAINTABLE[[#This Row],[Total Recovered Cases]]/MAINTABLE[[#This Row],[Confirmed Cases]]*100</f>
        <v>52.243029506603669</v>
      </c>
      <c r="O164" s="22">
        <f>MAINTABLE[[#This Row],[Total Deaths]]/MAINTABLE[[#This Row],[Confirmed Cases]]</f>
        <v>4.7939001154105286E-2</v>
      </c>
      <c r="P164" s="22" t="str">
        <f>IF(MAINTABLE[[#This Row],[New cases]]&gt;$U$4,"YES","NO")</f>
        <v>YES</v>
      </c>
    </row>
    <row r="165" spans="1:16" x14ac:dyDescent="0.35">
      <c r="A165" s="1">
        <v>44015</v>
      </c>
      <c r="B165" s="4">
        <v>11078585</v>
      </c>
      <c r="C165" s="4">
        <v>526336</v>
      </c>
      <c r="D165" s="4">
        <v>5790942</v>
      </c>
      <c r="E165" s="4">
        <v>4761307</v>
      </c>
      <c r="F165" s="4">
        <v>203495</v>
      </c>
      <c r="G165" s="4">
        <v>4995</v>
      </c>
      <c r="H165" s="4">
        <v>109465</v>
      </c>
      <c r="I165" s="4">
        <v>5</v>
      </c>
      <c r="J165" s="4">
        <v>52</v>
      </c>
      <c r="K165" s="4">
        <v>9</v>
      </c>
      <c r="L165" s="4">
        <v>187</v>
      </c>
      <c r="M165" s="4">
        <v>1.83683205030245</v>
      </c>
      <c r="N165" s="23">
        <f>MAINTABLE[[#This Row],[Total Recovered Cases]]/MAINTABLE[[#This Row],[Confirmed Cases]]*100</f>
        <v>52.271494960773424</v>
      </c>
      <c r="O165" s="22">
        <f>MAINTABLE[[#This Row],[Total Deaths]]/MAINTABLE[[#This Row],[Confirmed Cases]]</f>
        <v>4.7509316397355797E-2</v>
      </c>
      <c r="P165" s="22" t="str">
        <f>IF(MAINTABLE[[#This Row],[New cases]]&gt;$U$4,"YES","NO")</f>
        <v>NO</v>
      </c>
    </row>
    <row r="166" spans="1:16" x14ac:dyDescent="0.35">
      <c r="A166" s="1">
        <v>44016</v>
      </c>
      <c r="B166" s="3">
        <v>11272152</v>
      </c>
      <c r="C166" s="3">
        <v>530705</v>
      </c>
      <c r="D166" s="3">
        <v>5986375</v>
      </c>
      <c r="E166" s="3">
        <v>4755072</v>
      </c>
      <c r="F166" s="3">
        <v>193567</v>
      </c>
      <c r="G166" s="3">
        <v>4369</v>
      </c>
      <c r="H166" s="3">
        <v>195433</v>
      </c>
      <c r="I166" s="3">
        <v>5</v>
      </c>
      <c r="J166" s="3">
        <v>53</v>
      </c>
      <c r="K166" s="3">
        <v>9</v>
      </c>
      <c r="L166" s="3">
        <v>187</v>
      </c>
      <c r="M166" s="3">
        <v>1.71721424622379</v>
      </c>
      <c r="N166" s="23">
        <f>MAINTABLE[[#This Row],[Total Recovered Cases]]/MAINTABLE[[#This Row],[Confirmed Cases]]*100</f>
        <v>53.107649719414717</v>
      </c>
      <c r="O166" s="22">
        <f>MAINTABLE[[#This Row],[Total Deaths]]/MAINTABLE[[#This Row],[Confirmed Cases]]</f>
        <v>4.7081072008255391E-2</v>
      </c>
      <c r="P166" s="22" t="str">
        <f>IF(MAINTABLE[[#This Row],[New cases]]&gt;$U$4,"YES","NO")</f>
        <v>NO</v>
      </c>
    </row>
    <row r="167" spans="1:16" x14ac:dyDescent="0.35">
      <c r="A167" s="1">
        <v>44017</v>
      </c>
      <c r="B167" s="4">
        <v>11454847</v>
      </c>
      <c r="C167" s="4">
        <v>534150</v>
      </c>
      <c r="D167" s="4">
        <v>6105546</v>
      </c>
      <c r="E167" s="4">
        <v>4815151</v>
      </c>
      <c r="F167" s="4">
        <v>182695</v>
      </c>
      <c r="G167" s="4">
        <v>3445</v>
      </c>
      <c r="H167" s="4">
        <v>119171</v>
      </c>
      <c r="I167" s="4">
        <v>5</v>
      </c>
      <c r="J167" s="4">
        <v>53</v>
      </c>
      <c r="K167" s="4">
        <v>9</v>
      </c>
      <c r="L167" s="4">
        <v>187</v>
      </c>
      <c r="M167" s="4">
        <v>1.5949143624528599</v>
      </c>
      <c r="N167" s="23">
        <f>MAINTABLE[[#This Row],[Total Recovered Cases]]/MAINTABLE[[#This Row],[Confirmed Cases]]*100</f>
        <v>53.300982544769035</v>
      </c>
      <c r="O167" s="22">
        <f>MAINTABLE[[#This Row],[Total Deaths]]/MAINTABLE[[#This Row],[Confirmed Cases]]</f>
        <v>4.6630915279793787E-2</v>
      </c>
      <c r="P167" s="22" t="str">
        <f>IF(MAINTABLE[[#This Row],[New cases]]&gt;$U$4,"YES","NO")</f>
        <v>NO</v>
      </c>
    </row>
    <row r="168" spans="1:16" x14ac:dyDescent="0.35">
      <c r="A168" s="1">
        <v>44018</v>
      </c>
      <c r="B168" s="3">
        <v>11622190</v>
      </c>
      <c r="C168" s="3">
        <v>537947</v>
      </c>
      <c r="D168" s="3">
        <v>6228768</v>
      </c>
      <c r="E168" s="3">
        <v>4855475</v>
      </c>
      <c r="F168" s="3">
        <v>167343</v>
      </c>
      <c r="G168" s="3">
        <v>3797</v>
      </c>
      <c r="H168" s="3">
        <v>123222</v>
      </c>
      <c r="I168" s="3">
        <v>5</v>
      </c>
      <c r="J168" s="3">
        <v>54</v>
      </c>
      <c r="K168" s="3">
        <v>9</v>
      </c>
      <c r="L168" s="3">
        <v>187</v>
      </c>
      <c r="M168" s="3">
        <v>1.4398577204468399</v>
      </c>
      <c r="N168" s="23">
        <f>MAINTABLE[[#This Row],[Total Recovered Cases]]/MAINTABLE[[#This Row],[Confirmed Cases]]*100</f>
        <v>53.593754705438478</v>
      </c>
      <c r="O168" s="22">
        <f>MAINTABLE[[#This Row],[Total Deaths]]/MAINTABLE[[#This Row],[Confirmed Cases]]</f>
        <v>4.628619907263605E-2</v>
      </c>
      <c r="P168" s="22" t="str">
        <f>IF(MAINTABLE[[#This Row],[New cases]]&gt;$U$4,"YES","NO")</f>
        <v>NO</v>
      </c>
    </row>
    <row r="169" spans="1:16" x14ac:dyDescent="0.35">
      <c r="A169" s="1">
        <v>44019</v>
      </c>
      <c r="B169" s="4">
        <v>11833034</v>
      </c>
      <c r="C169" s="4">
        <v>544054</v>
      </c>
      <c r="D169" s="4">
        <v>6373513</v>
      </c>
      <c r="E169" s="4">
        <v>4915467</v>
      </c>
      <c r="F169" s="4">
        <v>210844</v>
      </c>
      <c r="G169" s="4">
        <v>6107</v>
      </c>
      <c r="H169" s="4">
        <v>144745</v>
      </c>
      <c r="I169" s="4">
        <v>5</v>
      </c>
      <c r="J169" s="4">
        <v>54</v>
      </c>
      <c r="K169" s="4">
        <v>9</v>
      </c>
      <c r="L169" s="4">
        <v>187</v>
      </c>
      <c r="M169" s="4">
        <v>1.78182535434277</v>
      </c>
      <c r="N169" s="23">
        <f>MAINTABLE[[#This Row],[Total Recovered Cases]]/MAINTABLE[[#This Row],[Confirmed Cases]]*100</f>
        <v>53.862035721354303</v>
      </c>
      <c r="O169" s="22">
        <f>MAINTABLE[[#This Row],[Total Deaths]]/MAINTABLE[[#This Row],[Confirmed Cases]]</f>
        <v>4.5977557404128136E-2</v>
      </c>
      <c r="P169" s="22" t="str">
        <f>IF(MAINTABLE[[#This Row],[New cases]]&gt;$U$4,"YES","NO")</f>
        <v>YES</v>
      </c>
    </row>
    <row r="170" spans="1:16" x14ac:dyDescent="0.35">
      <c r="A170" s="1">
        <v>44020</v>
      </c>
      <c r="B170" s="3">
        <v>12044836</v>
      </c>
      <c r="C170" s="3">
        <v>549373</v>
      </c>
      <c r="D170" s="3">
        <v>6531016</v>
      </c>
      <c r="E170" s="3">
        <v>4964447</v>
      </c>
      <c r="F170" s="3">
        <v>211802</v>
      </c>
      <c r="G170" s="3">
        <v>5319</v>
      </c>
      <c r="H170" s="3">
        <v>157503</v>
      </c>
      <c r="I170" s="3">
        <v>5</v>
      </c>
      <c r="J170" s="3">
        <v>54</v>
      </c>
      <c r="K170" s="3">
        <v>8</v>
      </c>
      <c r="L170" s="3">
        <v>187</v>
      </c>
      <c r="M170" s="3">
        <v>1.7584465243030301</v>
      </c>
      <c r="N170" s="23">
        <f>MAINTABLE[[#This Row],[Total Recovered Cases]]/MAINTABLE[[#This Row],[Confirmed Cases]]*100</f>
        <v>54.222539850272767</v>
      </c>
      <c r="O170" s="22">
        <f>MAINTABLE[[#This Row],[Total Deaths]]/MAINTABLE[[#This Row],[Confirmed Cases]]</f>
        <v>4.5610666679064785E-2</v>
      </c>
      <c r="P170" s="22" t="str">
        <f>IF(MAINTABLE[[#This Row],[New cases]]&gt;$U$4,"YES","NO")</f>
        <v>YES</v>
      </c>
    </row>
    <row r="171" spans="1:16" x14ac:dyDescent="0.35">
      <c r="A171" s="1">
        <v>44021</v>
      </c>
      <c r="B171" s="4">
        <v>12273063</v>
      </c>
      <c r="C171" s="4">
        <v>554831</v>
      </c>
      <c r="D171" s="4">
        <v>6665237</v>
      </c>
      <c r="E171" s="4">
        <v>5052995</v>
      </c>
      <c r="F171" s="4">
        <v>228227</v>
      </c>
      <c r="G171" s="4">
        <v>5458</v>
      </c>
      <c r="H171" s="4">
        <v>134221</v>
      </c>
      <c r="I171" s="4">
        <v>5</v>
      </c>
      <c r="J171" s="4">
        <v>54</v>
      </c>
      <c r="K171" s="4">
        <v>8</v>
      </c>
      <c r="L171" s="4">
        <v>187</v>
      </c>
      <c r="M171" s="4">
        <v>1.8595765376581199</v>
      </c>
      <c r="N171" s="23">
        <f>MAINTABLE[[#This Row],[Total Recovered Cases]]/MAINTABLE[[#This Row],[Confirmed Cases]]*100</f>
        <v>54.307852897031495</v>
      </c>
      <c r="O171" s="22">
        <f>MAINTABLE[[#This Row],[Total Deaths]]/MAINTABLE[[#This Row],[Confirmed Cases]]</f>
        <v>4.5207215183365394E-2</v>
      </c>
      <c r="P171" s="22" t="str">
        <f>IF(MAINTABLE[[#This Row],[New cases]]&gt;$U$4,"YES","NO")</f>
        <v>YES</v>
      </c>
    </row>
    <row r="172" spans="1:16" x14ac:dyDescent="0.35">
      <c r="A172" s="1">
        <v>44022</v>
      </c>
      <c r="B172" s="3">
        <v>12505640</v>
      </c>
      <c r="C172" s="3">
        <v>560142</v>
      </c>
      <c r="D172" s="3">
        <v>6804254</v>
      </c>
      <c r="E172" s="3">
        <v>5141244</v>
      </c>
      <c r="F172" s="3">
        <v>232577</v>
      </c>
      <c r="G172" s="3">
        <v>5311</v>
      </c>
      <c r="H172" s="3">
        <v>139017</v>
      </c>
      <c r="I172" s="3">
        <v>4</v>
      </c>
      <c r="J172" s="3">
        <v>54</v>
      </c>
      <c r="K172" s="3">
        <v>8</v>
      </c>
      <c r="L172" s="3">
        <v>187</v>
      </c>
      <c r="M172" s="3">
        <v>1.8597768686768501</v>
      </c>
      <c r="N172" s="23">
        <f>MAINTABLE[[#This Row],[Total Recovered Cases]]/MAINTABLE[[#This Row],[Confirmed Cases]]*100</f>
        <v>54.409482441522385</v>
      </c>
      <c r="O172" s="22">
        <f>MAINTABLE[[#This Row],[Total Deaths]]/MAINTABLE[[#This Row],[Confirmed Cases]]</f>
        <v>4.4791150233014866E-2</v>
      </c>
      <c r="P172" s="22" t="str">
        <f>IF(MAINTABLE[[#This Row],[New cases]]&gt;$U$4,"YES","NO")</f>
        <v>YES</v>
      </c>
    </row>
    <row r="173" spans="1:16" x14ac:dyDescent="0.35">
      <c r="A173" s="1">
        <v>44023</v>
      </c>
      <c r="B173" s="4">
        <v>12721968</v>
      </c>
      <c r="C173" s="4">
        <v>565039</v>
      </c>
      <c r="D173" s="4">
        <v>6929711</v>
      </c>
      <c r="E173" s="4">
        <v>5227218</v>
      </c>
      <c r="F173" s="4">
        <v>216328</v>
      </c>
      <c r="G173" s="4">
        <v>4897</v>
      </c>
      <c r="H173" s="4">
        <v>125457</v>
      </c>
      <c r="I173" s="4">
        <v>4</v>
      </c>
      <c r="J173" s="4">
        <v>54</v>
      </c>
      <c r="K173" s="4">
        <v>8</v>
      </c>
      <c r="L173" s="4">
        <v>187</v>
      </c>
      <c r="M173" s="4">
        <v>1.7004287386982899</v>
      </c>
      <c r="N173" s="23">
        <f>MAINTABLE[[#This Row],[Total Recovered Cases]]/MAINTABLE[[#This Row],[Confirmed Cases]]*100</f>
        <v>54.470432562006131</v>
      </c>
      <c r="O173" s="22">
        <f>MAINTABLE[[#This Row],[Total Deaths]]/MAINTABLE[[#This Row],[Confirmed Cases]]</f>
        <v>4.441443336439771E-2</v>
      </c>
      <c r="P173" s="22" t="str">
        <f>IF(MAINTABLE[[#This Row],[New cases]]&gt;$U$4,"YES","NO")</f>
        <v>YES</v>
      </c>
    </row>
    <row r="174" spans="1:16" x14ac:dyDescent="0.35">
      <c r="A174" s="1">
        <v>44024</v>
      </c>
      <c r="B174" s="3">
        <v>12914636</v>
      </c>
      <c r="C174" s="3">
        <v>568993</v>
      </c>
      <c r="D174" s="3">
        <v>7041174</v>
      </c>
      <c r="E174" s="3">
        <v>5304469</v>
      </c>
      <c r="F174" s="3">
        <v>192668</v>
      </c>
      <c r="G174" s="3">
        <v>3954</v>
      </c>
      <c r="H174" s="3">
        <v>111463</v>
      </c>
      <c r="I174" s="3">
        <v>4</v>
      </c>
      <c r="J174" s="3">
        <v>55</v>
      </c>
      <c r="K174" s="3">
        <v>8</v>
      </c>
      <c r="L174" s="3">
        <v>187</v>
      </c>
      <c r="M174" s="3">
        <v>1.4918577650969</v>
      </c>
      <c r="N174" s="23">
        <f>MAINTABLE[[#This Row],[Total Recovered Cases]]/MAINTABLE[[#This Row],[Confirmed Cases]]*100</f>
        <v>54.520886225519639</v>
      </c>
      <c r="O174" s="22">
        <f>MAINTABLE[[#This Row],[Total Deaths]]/MAINTABLE[[#This Row],[Confirmed Cases]]</f>
        <v>4.4057997453431905E-2</v>
      </c>
      <c r="P174" s="22" t="str">
        <f>IF(MAINTABLE[[#This Row],[New cases]]&gt;$U$4,"YES","NO")</f>
        <v>NO</v>
      </c>
    </row>
    <row r="175" spans="1:16" x14ac:dyDescent="0.35">
      <c r="A175" s="1">
        <v>44025</v>
      </c>
      <c r="B175" s="4">
        <v>13107415</v>
      </c>
      <c r="C175" s="4">
        <v>572808</v>
      </c>
      <c r="D175" s="4">
        <v>7181139</v>
      </c>
      <c r="E175" s="4">
        <v>5353468</v>
      </c>
      <c r="F175" s="4">
        <v>192779</v>
      </c>
      <c r="G175" s="4">
        <v>3815</v>
      </c>
      <c r="H175" s="4">
        <v>139965</v>
      </c>
      <c r="I175" s="4">
        <v>4</v>
      </c>
      <c r="J175" s="4">
        <v>55</v>
      </c>
      <c r="K175" s="4">
        <v>8</v>
      </c>
      <c r="L175" s="4">
        <v>187</v>
      </c>
      <c r="M175" s="4">
        <v>1.47076292312405</v>
      </c>
      <c r="N175" s="23">
        <f>MAINTABLE[[#This Row],[Total Recovered Cases]]/MAINTABLE[[#This Row],[Confirmed Cases]]*100</f>
        <v>54.786843935283954</v>
      </c>
      <c r="O175" s="22">
        <f>MAINTABLE[[#This Row],[Total Deaths]]/MAINTABLE[[#This Row],[Confirmed Cases]]</f>
        <v>4.3701065389323522E-2</v>
      </c>
      <c r="P175" s="22" t="str">
        <f>IF(MAINTABLE[[#This Row],[New cases]]&gt;$U$4,"YES","NO")</f>
        <v>NO</v>
      </c>
    </row>
    <row r="176" spans="1:16" x14ac:dyDescent="0.35">
      <c r="A176" s="1">
        <v>44026</v>
      </c>
      <c r="B176" s="3">
        <v>13328867</v>
      </c>
      <c r="C176" s="3">
        <v>578468</v>
      </c>
      <c r="D176" s="3">
        <v>7322897</v>
      </c>
      <c r="E176" s="3">
        <v>5427502</v>
      </c>
      <c r="F176" s="3">
        <v>221452</v>
      </c>
      <c r="G176" s="3">
        <v>5660</v>
      </c>
      <c r="H176" s="3">
        <v>141758</v>
      </c>
      <c r="I176" s="3">
        <v>4</v>
      </c>
      <c r="J176" s="3">
        <v>55</v>
      </c>
      <c r="K176" s="3">
        <v>8</v>
      </c>
      <c r="L176" s="3">
        <v>187</v>
      </c>
      <c r="M176" s="3">
        <v>1.6614465430557599</v>
      </c>
      <c r="N176" s="23">
        <f>MAINTABLE[[#This Row],[Total Recovered Cases]]/MAINTABLE[[#This Row],[Confirmed Cases]]*100</f>
        <v>54.940131070405307</v>
      </c>
      <c r="O176" s="22">
        <f>MAINTABLE[[#This Row],[Total Deaths]]/MAINTABLE[[#This Row],[Confirmed Cases]]</f>
        <v>4.3399637793669933E-2</v>
      </c>
      <c r="P176" s="22" t="str">
        <f>IF(MAINTABLE[[#This Row],[New cases]]&gt;$U$4,"YES","NO")</f>
        <v>YES</v>
      </c>
    </row>
    <row r="177" spans="1:16" x14ac:dyDescent="0.35">
      <c r="A177" s="1">
        <v>44027</v>
      </c>
      <c r="B177" s="4">
        <v>13559984</v>
      </c>
      <c r="C177" s="4">
        <v>583961</v>
      </c>
      <c r="D177" s="4">
        <v>7482320</v>
      </c>
      <c r="E177" s="4">
        <v>5493703</v>
      </c>
      <c r="F177" s="4">
        <v>231122</v>
      </c>
      <c r="G177" s="4">
        <v>5493</v>
      </c>
      <c r="H177" s="4">
        <v>159423</v>
      </c>
      <c r="I177" s="4">
        <v>4</v>
      </c>
      <c r="J177" s="4">
        <v>55</v>
      </c>
      <c r="K177" s="4">
        <v>8</v>
      </c>
      <c r="L177" s="4">
        <v>187</v>
      </c>
      <c r="M177" s="4">
        <v>1.7044415391640599</v>
      </c>
      <c r="N177" s="23">
        <f>MAINTABLE[[#This Row],[Total Recovered Cases]]/MAINTABLE[[#This Row],[Confirmed Cases]]*100</f>
        <v>55.179416140904003</v>
      </c>
      <c r="O177" s="22">
        <f>MAINTABLE[[#This Row],[Total Deaths]]/MAINTABLE[[#This Row],[Confirmed Cases]]</f>
        <v>4.3065021315659369E-2</v>
      </c>
      <c r="P177" s="22" t="str">
        <f>IF(MAINTABLE[[#This Row],[New cases]]&gt;$U$4,"YES","NO")</f>
        <v>YES</v>
      </c>
    </row>
    <row r="178" spans="1:16" x14ac:dyDescent="0.35">
      <c r="A178" s="1">
        <v>44028</v>
      </c>
      <c r="B178" s="3">
        <v>13812525</v>
      </c>
      <c r="C178" s="3">
        <v>589760</v>
      </c>
      <c r="D178" s="3">
        <v>7634241</v>
      </c>
      <c r="E178" s="3">
        <v>5588524</v>
      </c>
      <c r="F178" s="3">
        <v>252544</v>
      </c>
      <c r="G178" s="3">
        <v>5799</v>
      </c>
      <c r="H178" s="3">
        <v>151921</v>
      </c>
      <c r="I178" s="3">
        <v>4</v>
      </c>
      <c r="J178" s="3">
        <v>55</v>
      </c>
      <c r="K178" s="3">
        <v>8</v>
      </c>
      <c r="L178" s="3">
        <v>187</v>
      </c>
      <c r="M178" s="3">
        <v>1.8283695414126</v>
      </c>
      <c r="N178" s="23">
        <f>MAINTABLE[[#This Row],[Total Recovered Cases]]/MAINTABLE[[#This Row],[Confirmed Cases]]*100</f>
        <v>55.270423039958295</v>
      </c>
      <c r="O178" s="22">
        <f>MAINTABLE[[#This Row],[Total Deaths]]/MAINTABLE[[#This Row],[Confirmed Cases]]</f>
        <v>4.2697479280580486E-2</v>
      </c>
      <c r="P178" s="22" t="str">
        <f>IF(MAINTABLE[[#This Row],[New cases]]&gt;$U$4,"YES","NO")</f>
        <v>YES</v>
      </c>
    </row>
    <row r="179" spans="1:16" x14ac:dyDescent="0.35">
      <c r="A179" s="1">
        <v>44029</v>
      </c>
      <c r="B179" s="4">
        <v>14054563</v>
      </c>
      <c r="C179" s="4">
        <v>596503</v>
      </c>
      <c r="D179" s="4">
        <v>7793760</v>
      </c>
      <c r="E179" s="4">
        <v>5664300</v>
      </c>
      <c r="F179" s="4">
        <v>242038</v>
      </c>
      <c r="G179" s="4">
        <v>6743</v>
      </c>
      <c r="H179" s="4">
        <v>159519</v>
      </c>
      <c r="I179" s="4">
        <v>4</v>
      </c>
      <c r="J179" s="4">
        <v>55</v>
      </c>
      <c r="K179" s="4">
        <v>8</v>
      </c>
      <c r="L179" s="4">
        <v>187</v>
      </c>
      <c r="M179" s="4">
        <v>1.72213109721021</v>
      </c>
      <c r="N179" s="23">
        <f>MAINTABLE[[#This Row],[Total Recovered Cases]]/MAINTABLE[[#This Row],[Confirmed Cases]]*100</f>
        <v>55.453591833484971</v>
      </c>
      <c r="O179" s="22">
        <f>MAINTABLE[[#This Row],[Total Deaths]]/MAINTABLE[[#This Row],[Confirmed Cases]]</f>
        <v>4.2441945722538649E-2</v>
      </c>
      <c r="P179" s="22" t="str">
        <f>IF(MAINTABLE[[#This Row],[New cases]]&gt;$U$4,"YES","NO")</f>
        <v>YES</v>
      </c>
    </row>
    <row r="180" spans="1:16" x14ac:dyDescent="0.35">
      <c r="A180" s="1">
        <v>44030</v>
      </c>
      <c r="B180" s="3">
        <v>14292198</v>
      </c>
      <c r="C180" s="3">
        <v>602130</v>
      </c>
      <c r="D180" s="3">
        <v>7944550</v>
      </c>
      <c r="E180" s="3">
        <v>5745518</v>
      </c>
      <c r="F180" s="3">
        <v>237635</v>
      </c>
      <c r="G180" s="3">
        <v>5627</v>
      </c>
      <c r="H180" s="3">
        <v>150790</v>
      </c>
      <c r="I180" s="3">
        <v>4</v>
      </c>
      <c r="J180" s="3">
        <v>56</v>
      </c>
      <c r="K180" s="3">
        <v>8</v>
      </c>
      <c r="L180" s="3">
        <v>187</v>
      </c>
      <c r="M180" s="3">
        <v>1.6626903713480601</v>
      </c>
      <c r="N180" s="23">
        <f>MAINTABLE[[#This Row],[Total Recovered Cases]]/MAINTABLE[[#This Row],[Confirmed Cases]]*100</f>
        <v>55.586621455985984</v>
      </c>
      <c r="O180" s="22">
        <f>MAINTABLE[[#This Row],[Total Deaths]]/MAINTABLE[[#This Row],[Confirmed Cases]]</f>
        <v>4.2129978887781992E-2</v>
      </c>
      <c r="P180" s="22" t="str">
        <f>IF(MAINTABLE[[#This Row],[New cases]]&gt;$U$4,"YES","NO")</f>
        <v>YES</v>
      </c>
    </row>
    <row r="181" spans="1:16" x14ac:dyDescent="0.35">
      <c r="A181" s="1">
        <v>44031</v>
      </c>
      <c r="B181" s="4">
        <v>14506845</v>
      </c>
      <c r="C181" s="4">
        <v>606159</v>
      </c>
      <c r="D181" s="4">
        <v>8032235</v>
      </c>
      <c r="E181" s="4">
        <v>5868451</v>
      </c>
      <c r="F181" s="4">
        <v>214647</v>
      </c>
      <c r="G181" s="4">
        <v>4029</v>
      </c>
      <c r="H181" s="4">
        <v>87685</v>
      </c>
      <c r="I181" s="4">
        <v>4</v>
      </c>
      <c r="J181" s="4">
        <v>55</v>
      </c>
      <c r="K181" s="4">
        <v>8</v>
      </c>
      <c r="L181" s="4">
        <v>187</v>
      </c>
      <c r="M181" s="4">
        <v>1.4796256525798701</v>
      </c>
      <c r="N181" s="23">
        <f>MAINTABLE[[#This Row],[Total Recovered Cases]]/MAINTABLE[[#This Row],[Confirmed Cases]]*100</f>
        <v>55.368586346652215</v>
      </c>
      <c r="O181" s="22">
        <f>MAINTABLE[[#This Row],[Total Deaths]]/MAINTABLE[[#This Row],[Confirmed Cases]]</f>
        <v>4.1784343873530048E-2</v>
      </c>
      <c r="P181" s="22" t="str">
        <f>IF(MAINTABLE[[#This Row],[New cases]]&gt;$U$4,"YES","NO")</f>
        <v>YES</v>
      </c>
    </row>
    <row r="182" spans="1:16" x14ac:dyDescent="0.35">
      <c r="A182" s="1">
        <v>44032</v>
      </c>
      <c r="B182" s="3">
        <v>14713623</v>
      </c>
      <c r="C182" s="3">
        <v>610319</v>
      </c>
      <c r="D182" s="3">
        <v>8190777</v>
      </c>
      <c r="E182" s="3">
        <v>5912527</v>
      </c>
      <c r="F182" s="3">
        <v>206778</v>
      </c>
      <c r="G182" s="3">
        <v>4160</v>
      </c>
      <c r="H182" s="3">
        <v>158542</v>
      </c>
      <c r="I182" s="3">
        <v>4</v>
      </c>
      <c r="J182" s="3">
        <v>56</v>
      </c>
      <c r="K182" s="3">
        <v>7</v>
      </c>
      <c r="L182" s="3">
        <v>187</v>
      </c>
      <c r="M182" s="3">
        <v>1.4053506739978301</v>
      </c>
      <c r="N182" s="23">
        <f>MAINTABLE[[#This Row],[Total Recovered Cases]]/MAINTABLE[[#This Row],[Confirmed Cases]]*100</f>
        <v>55.667981978333955</v>
      </c>
      <c r="O182" s="22">
        <f>MAINTABLE[[#This Row],[Total Deaths]]/MAINTABLE[[#This Row],[Confirmed Cases]]</f>
        <v>4.1479858495762738E-2</v>
      </c>
      <c r="P182" s="22" t="str">
        <f>IF(MAINTABLE[[#This Row],[New cases]]&gt;$U$4,"YES","NO")</f>
        <v>NO</v>
      </c>
    </row>
    <row r="183" spans="1:16" x14ac:dyDescent="0.35">
      <c r="A183" s="1">
        <v>44033</v>
      </c>
      <c r="B183" s="4">
        <v>14947078</v>
      </c>
      <c r="C183" s="4">
        <v>616557</v>
      </c>
      <c r="D183" s="4">
        <v>8364986</v>
      </c>
      <c r="E183" s="4">
        <v>5965535</v>
      </c>
      <c r="F183" s="4">
        <v>233565</v>
      </c>
      <c r="G183" s="4">
        <v>6238</v>
      </c>
      <c r="H183" s="4">
        <v>174209</v>
      </c>
      <c r="I183" s="4">
        <v>4</v>
      </c>
      <c r="J183" s="4">
        <v>56</v>
      </c>
      <c r="K183" s="4">
        <v>7</v>
      </c>
      <c r="L183" s="4">
        <v>187</v>
      </c>
      <c r="M183" s="4">
        <v>1.5626131073912899</v>
      </c>
      <c r="N183" s="23">
        <f>MAINTABLE[[#This Row],[Total Recovered Cases]]/MAINTABLE[[#This Row],[Confirmed Cases]]*100</f>
        <v>55.96402186434031</v>
      </c>
      <c r="O183" s="22">
        <f>MAINTABLE[[#This Row],[Total Deaths]]/MAINTABLE[[#This Row],[Confirmed Cases]]</f>
        <v>4.1249333147254603E-2</v>
      </c>
      <c r="P183" s="22" t="str">
        <f>IF(MAINTABLE[[#This Row],[New cases]]&gt;$U$4,"YES","NO")</f>
        <v>YES</v>
      </c>
    </row>
    <row r="184" spans="1:16" x14ac:dyDescent="0.35">
      <c r="A184" s="1">
        <v>44034</v>
      </c>
      <c r="B184" s="3">
        <v>15227725</v>
      </c>
      <c r="C184" s="3">
        <v>623540</v>
      </c>
      <c r="D184" s="3">
        <v>8541255</v>
      </c>
      <c r="E184" s="3">
        <v>6062930</v>
      </c>
      <c r="F184" s="3">
        <v>280647</v>
      </c>
      <c r="G184" s="3">
        <v>6983</v>
      </c>
      <c r="H184" s="3">
        <v>176269</v>
      </c>
      <c r="I184" s="3">
        <v>4</v>
      </c>
      <c r="J184" s="3">
        <v>56</v>
      </c>
      <c r="K184" s="3">
        <v>7</v>
      </c>
      <c r="L184" s="3">
        <v>187</v>
      </c>
      <c r="M184" s="3">
        <v>1.8430001855168801</v>
      </c>
      <c r="N184" s="23">
        <f>MAINTABLE[[#This Row],[Total Recovered Cases]]/MAINTABLE[[#This Row],[Confirmed Cases]]*100</f>
        <v>56.090157919190162</v>
      </c>
      <c r="O184" s="22">
        <f>MAINTABLE[[#This Row],[Total Deaths]]/MAINTABLE[[#This Row],[Confirmed Cases]]</f>
        <v>4.094767931519646E-2</v>
      </c>
      <c r="P184" s="22" t="str">
        <f>IF(MAINTABLE[[#This Row],[New cases]]&gt;$U$4,"YES","NO")</f>
        <v>YES</v>
      </c>
    </row>
    <row r="185" spans="1:16" x14ac:dyDescent="0.35">
      <c r="A185" s="1">
        <v>44035</v>
      </c>
      <c r="B185" s="4">
        <v>15510481</v>
      </c>
      <c r="C185" s="4">
        <v>633506</v>
      </c>
      <c r="D185" s="4">
        <v>8710969</v>
      </c>
      <c r="E185" s="4">
        <v>6166006</v>
      </c>
      <c r="F185" s="4">
        <v>282756</v>
      </c>
      <c r="G185" s="4">
        <v>9966</v>
      </c>
      <c r="H185" s="4">
        <v>169714</v>
      </c>
      <c r="I185" s="4">
        <v>4</v>
      </c>
      <c r="J185" s="4">
        <v>56</v>
      </c>
      <c r="K185" s="4">
        <v>7</v>
      </c>
      <c r="L185" s="4">
        <v>187</v>
      </c>
      <c r="M185" s="4">
        <v>1.822999557525</v>
      </c>
      <c r="N185" s="23">
        <f>MAINTABLE[[#This Row],[Total Recovered Cases]]/MAINTABLE[[#This Row],[Confirmed Cases]]*100</f>
        <v>56.161823737123306</v>
      </c>
      <c r="O185" s="22">
        <f>MAINTABLE[[#This Row],[Total Deaths]]/MAINTABLE[[#This Row],[Confirmed Cases]]</f>
        <v>4.0843736567550679E-2</v>
      </c>
      <c r="P185" s="22" t="str">
        <f>IF(MAINTABLE[[#This Row],[New cases]]&gt;$U$4,"YES","NO")</f>
        <v>YES</v>
      </c>
    </row>
    <row r="186" spans="1:16" x14ac:dyDescent="0.35">
      <c r="A186" s="1">
        <v>44036</v>
      </c>
      <c r="B186" s="3">
        <v>15791645</v>
      </c>
      <c r="C186" s="3">
        <v>639650</v>
      </c>
      <c r="D186" s="3">
        <v>8939705</v>
      </c>
      <c r="E186" s="3">
        <v>6212290</v>
      </c>
      <c r="F186" s="3">
        <v>281164</v>
      </c>
      <c r="G186" s="3">
        <v>6144</v>
      </c>
      <c r="H186" s="3">
        <v>228736</v>
      </c>
      <c r="I186" s="3">
        <v>4</v>
      </c>
      <c r="J186" s="3">
        <v>57</v>
      </c>
      <c r="K186" s="3">
        <v>7</v>
      </c>
      <c r="L186" s="3">
        <v>187</v>
      </c>
      <c r="M186" s="3">
        <v>1.7804604903415699</v>
      </c>
      <c r="N186" s="23">
        <f>MAINTABLE[[#This Row],[Total Recovered Cases]]/MAINTABLE[[#This Row],[Confirmed Cases]]*100</f>
        <v>56.610346800475817</v>
      </c>
      <c r="O186" s="22">
        <f>MAINTABLE[[#This Row],[Total Deaths]]/MAINTABLE[[#This Row],[Confirmed Cases]]</f>
        <v>4.0505596472058487E-2</v>
      </c>
      <c r="P186" s="22" t="str">
        <f>IF(MAINTABLE[[#This Row],[New cases]]&gt;$U$4,"YES","NO")</f>
        <v>YES</v>
      </c>
    </row>
    <row r="187" spans="1:16" x14ac:dyDescent="0.35">
      <c r="A187" s="1">
        <v>44037</v>
      </c>
      <c r="B187" s="4">
        <v>16047190</v>
      </c>
      <c r="C187" s="4">
        <v>644517</v>
      </c>
      <c r="D187" s="4">
        <v>9158743</v>
      </c>
      <c r="E187" s="4">
        <v>6243930</v>
      </c>
      <c r="F187" s="4">
        <v>255545</v>
      </c>
      <c r="G187" s="4">
        <v>4867</v>
      </c>
      <c r="H187" s="4">
        <v>219038</v>
      </c>
      <c r="I187" s="4">
        <v>4</v>
      </c>
      <c r="J187" s="4">
        <v>57</v>
      </c>
      <c r="K187" s="4">
        <v>7</v>
      </c>
      <c r="L187" s="4">
        <v>187</v>
      </c>
      <c r="M187" s="4">
        <v>1.5924594897922899</v>
      </c>
      <c r="N187" s="23">
        <f>MAINTABLE[[#This Row],[Total Recovered Cases]]/MAINTABLE[[#This Row],[Confirmed Cases]]*100</f>
        <v>57.07381167668607</v>
      </c>
      <c r="O187" s="22">
        <f>MAINTABLE[[#This Row],[Total Deaths]]/MAINTABLE[[#This Row],[Confirmed Cases]]</f>
        <v>4.0163854232423246E-2</v>
      </c>
      <c r="P187" s="22" t="str">
        <f>IF(MAINTABLE[[#This Row],[New cases]]&gt;$U$4,"YES","NO")</f>
        <v>YES</v>
      </c>
    </row>
    <row r="188" spans="1:16" x14ac:dyDescent="0.35">
      <c r="A188" s="1">
        <v>44038</v>
      </c>
      <c r="B188" s="3">
        <v>16251796</v>
      </c>
      <c r="C188" s="3">
        <v>648621</v>
      </c>
      <c r="D188" s="3">
        <v>9293464</v>
      </c>
      <c r="E188" s="3">
        <v>6309711</v>
      </c>
      <c r="F188" s="3">
        <v>204606</v>
      </c>
      <c r="G188" s="3">
        <v>4104</v>
      </c>
      <c r="H188" s="3">
        <v>134721</v>
      </c>
      <c r="I188" s="3">
        <v>4</v>
      </c>
      <c r="J188" s="3">
        <v>57</v>
      </c>
      <c r="K188" s="3">
        <v>7</v>
      </c>
      <c r="L188" s="3">
        <v>187</v>
      </c>
      <c r="M188" s="3">
        <v>1.25897470039619</v>
      </c>
      <c r="N188" s="23">
        <f>MAINTABLE[[#This Row],[Total Recovered Cases]]/MAINTABLE[[#This Row],[Confirmed Cases]]*100</f>
        <v>57.184227515531205</v>
      </c>
      <c r="O188" s="22">
        <f>MAINTABLE[[#This Row],[Total Deaths]]/MAINTABLE[[#This Row],[Confirmed Cases]]</f>
        <v>3.9910727405143405E-2</v>
      </c>
      <c r="P188" s="22" t="str">
        <f>IF(MAINTABLE[[#This Row],[New cases]]&gt;$U$4,"YES","NO")</f>
        <v>NO</v>
      </c>
    </row>
    <row r="189" spans="1:16" ht="15" thickBot="1" x14ac:dyDescent="0.4">
      <c r="A189" s="1">
        <v>44039</v>
      </c>
      <c r="B189" s="5">
        <v>16480485</v>
      </c>
      <c r="C189" s="5">
        <v>654036</v>
      </c>
      <c r="D189" s="5">
        <v>9468087</v>
      </c>
      <c r="E189" s="5">
        <v>6358362</v>
      </c>
      <c r="F189" s="5">
        <v>228693</v>
      </c>
      <c r="G189" s="5">
        <v>5415</v>
      </c>
      <c r="H189" s="5">
        <v>174623</v>
      </c>
      <c r="I189" s="5">
        <v>4</v>
      </c>
      <c r="J189" s="5">
        <v>57</v>
      </c>
      <c r="K189" s="5">
        <v>7</v>
      </c>
      <c r="L189" s="5">
        <v>187</v>
      </c>
      <c r="M189" s="5">
        <v>1.3876594044410699</v>
      </c>
      <c r="N189" s="23">
        <f>MAINTABLE[[#This Row],[Total Recovered Cases]]/MAINTABLE[[#This Row],[Confirmed Cases]]*100</f>
        <v>57.450293483474546</v>
      </c>
      <c r="O189" s="22">
        <f>MAINTABLE[[#This Row],[Total Deaths]]/MAINTABLE[[#This Row],[Confirmed Cases]]</f>
        <v>3.9685482557097078E-2</v>
      </c>
      <c r="P189" s="22" t="str">
        <f>IF(MAINTABLE[[#This Row],[New cases]]&gt;$U$4,"YES","NO")</f>
        <v>YES</v>
      </c>
    </row>
    <row r="190" spans="1:16" x14ac:dyDescent="0.35">
      <c r="A190" s="1"/>
      <c r="B190">
        <f>SUM(MAINTABLE[Confirmed Cases])</f>
        <v>828508482</v>
      </c>
      <c r="I190">
        <f>SUM(I2:I189)</f>
        <v>906</v>
      </c>
    </row>
  </sheetData>
  <mergeCells count="2">
    <mergeCell ref="T2:V3"/>
    <mergeCell ref="T6:V7"/>
  </mergeCells>
  <conditionalFormatting sqref="F2:F189">
    <cfRule type="cellIs" dxfId="0" priority="2" operator="greaterThan">
      <formula>$U$4</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ABC0-2CF7-44AB-989A-6ED398D89CC9}">
  <sheetPr>
    <pageSetUpPr autoPageBreaks="0"/>
  </sheetPr>
  <dimension ref="A1:AA1"/>
  <sheetViews>
    <sheetView showGridLines="0" tabSelected="1" zoomScale="71" zoomScaleNormal="80" workbookViewId="0">
      <selection activeCell="F32" sqref="F32"/>
    </sheetView>
  </sheetViews>
  <sheetFormatPr defaultRowHeight="14.5" x14ac:dyDescent="0.35"/>
  <sheetData>
    <row r="1" spans="1:27" ht="23.5" x14ac:dyDescent="0.55000000000000004">
      <c r="A1" s="30" t="s">
        <v>69</v>
      </c>
      <c r="B1" s="30"/>
      <c r="C1" s="30"/>
      <c r="D1" s="30"/>
      <c r="E1" s="30"/>
      <c r="F1" s="30"/>
      <c r="G1" s="30"/>
      <c r="H1" s="30"/>
      <c r="I1" s="30"/>
      <c r="J1" s="30"/>
      <c r="K1" s="30"/>
      <c r="L1" s="30"/>
      <c r="M1" s="30"/>
      <c r="N1" s="30"/>
      <c r="O1" s="30"/>
      <c r="P1" s="30"/>
      <c r="Q1" s="30"/>
      <c r="R1" s="30"/>
      <c r="S1" s="30"/>
      <c r="T1" s="30"/>
      <c r="U1" s="30"/>
      <c r="V1" s="30"/>
      <c r="W1" s="30"/>
      <c r="X1" s="30"/>
      <c r="Y1" s="30"/>
      <c r="Z1" s="30"/>
      <c r="AA1" s="30"/>
    </row>
  </sheetData>
  <mergeCells count="1">
    <mergeCell ref="A1:AA1"/>
  </mergeCells>
  <pageMargins left="0.7" right="0.7" top="0.75" bottom="0.75" header="0.3" footer="0.3"/>
  <pageSetup fitToWidth="0" fitToHeight="0"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E6C4-EF88-4BBD-9D0E-39F501A08F6B}">
  <dimension ref="A1:J10"/>
  <sheetViews>
    <sheetView zoomScale="78" workbookViewId="0">
      <selection activeCell="F10" sqref="F10"/>
    </sheetView>
  </sheetViews>
  <sheetFormatPr defaultRowHeight="14.5" x14ac:dyDescent="0.35"/>
  <cols>
    <col min="1" max="1" width="10.453125" bestFit="1" customWidth="1"/>
    <col min="2" max="2" width="15.453125" bestFit="1" customWidth="1"/>
    <col min="3" max="3" width="11.26953125" bestFit="1" customWidth="1"/>
    <col min="4" max="4" width="11.54296875" bestFit="1" customWidth="1"/>
    <col min="5" max="5" width="15.6328125" bestFit="1" customWidth="1"/>
    <col min="6" max="6" width="17.81640625" bestFit="1" customWidth="1"/>
    <col min="7" max="7" width="10.453125" bestFit="1" customWidth="1"/>
    <col min="8" max="8" width="9.90625" bestFit="1" customWidth="1"/>
    <col min="9" max="9" width="10.7265625" bestFit="1" customWidth="1"/>
    <col min="10" max="10" width="13.7265625" bestFit="1" customWidth="1"/>
    <col min="11" max="195" width="10.08984375" bestFit="1" customWidth="1"/>
    <col min="196" max="196" width="10.36328125" bestFit="1" customWidth="1"/>
  </cols>
  <sheetData>
    <row r="1" spans="1:10" x14ac:dyDescent="0.35">
      <c r="A1" s="33" t="s">
        <v>78</v>
      </c>
      <c r="B1" s="34"/>
      <c r="C1" s="34"/>
      <c r="D1" s="34"/>
      <c r="E1" s="34"/>
      <c r="G1" s="33" t="s">
        <v>34</v>
      </c>
      <c r="H1" s="34"/>
      <c r="I1" s="34"/>
      <c r="J1" s="34"/>
    </row>
    <row r="2" spans="1:10" x14ac:dyDescent="0.35">
      <c r="A2" s="6" t="s">
        <v>31</v>
      </c>
      <c r="B2" t="s">
        <v>12</v>
      </c>
      <c r="C2" t="s">
        <v>13</v>
      </c>
      <c r="D2" t="s">
        <v>15</v>
      </c>
      <c r="E2" t="s">
        <v>77</v>
      </c>
      <c r="G2" s="6" t="s">
        <v>31</v>
      </c>
      <c r="H2" t="s">
        <v>5</v>
      </c>
      <c r="I2" t="s">
        <v>6</v>
      </c>
      <c r="J2" t="s">
        <v>7</v>
      </c>
    </row>
    <row r="3" spans="1:10" x14ac:dyDescent="0.35">
      <c r="A3" s="7" t="s">
        <v>24</v>
      </c>
      <c r="B3">
        <v>9927</v>
      </c>
      <c r="C3">
        <v>213</v>
      </c>
      <c r="D3">
        <v>9495</v>
      </c>
      <c r="E3">
        <v>219</v>
      </c>
      <c r="G3" s="7" t="s">
        <v>24</v>
      </c>
      <c r="H3">
        <v>9375</v>
      </c>
      <c r="I3">
        <v>199</v>
      </c>
      <c r="J3">
        <v>194</v>
      </c>
    </row>
    <row r="4" spans="1:10" x14ac:dyDescent="0.35">
      <c r="A4" s="7" t="s">
        <v>25</v>
      </c>
      <c r="B4">
        <v>85306</v>
      </c>
      <c r="C4">
        <v>2936</v>
      </c>
      <c r="D4">
        <v>58996</v>
      </c>
      <c r="E4">
        <v>38314</v>
      </c>
      <c r="G4" s="7" t="s">
        <v>25</v>
      </c>
      <c r="H4">
        <v>75379</v>
      </c>
      <c r="I4">
        <v>2723</v>
      </c>
      <c r="J4">
        <v>38095</v>
      </c>
    </row>
    <row r="5" spans="1:10" x14ac:dyDescent="0.35">
      <c r="A5" s="7" t="s">
        <v>26</v>
      </c>
      <c r="B5">
        <v>871355</v>
      </c>
      <c r="C5">
        <v>44478</v>
      </c>
      <c r="D5">
        <v>652803</v>
      </c>
      <c r="E5">
        <v>174074</v>
      </c>
      <c r="G5" s="7" t="s">
        <v>26</v>
      </c>
      <c r="H5">
        <v>786064</v>
      </c>
      <c r="I5">
        <v>41542</v>
      </c>
      <c r="J5">
        <v>135760</v>
      </c>
    </row>
    <row r="6" spans="1:10" x14ac:dyDescent="0.35">
      <c r="A6" s="7" t="s">
        <v>27</v>
      </c>
      <c r="B6">
        <v>3268876</v>
      </c>
      <c r="C6">
        <v>234704</v>
      </c>
      <c r="D6">
        <v>2044556</v>
      </c>
      <c r="E6">
        <v>989616</v>
      </c>
      <c r="G6" s="7" t="s">
        <v>27</v>
      </c>
      <c r="H6">
        <v>2412383</v>
      </c>
      <c r="I6">
        <v>190226</v>
      </c>
      <c r="J6">
        <v>815542</v>
      </c>
    </row>
    <row r="7" spans="1:10" x14ac:dyDescent="0.35">
      <c r="A7" s="7" t="s">
        <v>28</v>
      </c>
      <c r="B7">
        <v>6185530</v>
      </c>
      <c r="C7">
        <v>373606</v>
      </c>
      <c r="D7">
        <v>3226335</v>
      </c>
      <c r="E7">
        <v>2585589</v>
      </c>
      <c r="G7" s="7" t="s">
        <v>28</v>
      </c>
      <c r="H7">
        <v>2921042</v>
      </c>
      <c r="I7">
        <v>138902</v>
      </c>
      <c r="J7">
        <v>1595973</v>
      </c>
    </row>
    <row r="8" spans="1:10" x14ac:dyDescent="0.35">
      <c r="A8" s="7" t="s">
        <v>29</v>
      </c>
      <c r="B8">
        <v>10449697</v>
      </c>
      <c r="C8">
        <v>511210</v>
      </c>
      <c r="D8">
        <v>4657028</v>
      </c>
      <c r="E8">
        <v>5281459</v>
      </c>
      <c r="G8" s="7" t="s">
        <v>29</v>
      </c>
      <c r="H8">
        <v>4265801</v>
      </c>
      <c r="I8">
        <v>137604</v>
      </c>
      <c r="J8">
        <v>2695870</v>
      </c>
    </row>
    <row r="9" spans="1:10" x14ac:dyDescent="0.35">
      <c r="A9" s="7" t="s">
        <v>30</v>
      </c>
      <c r="B9">
        <v>16480485</v>
      </c>
      <c r="C9">
        <v>654036</v>
      </c>
      <c r="D9">
        <v>6358362</v>
      </c>
      <c r="E9">
        <v>9468087</v>
      </c>
      <c r="G9" s="7" t="s">
        <v>30</v>
      </c>
      <c r="H9">
        <v>6030911</v>
      </c>
      <c r="I9">
        <v>142826</v>
      </c>
      <c r="J9">
        <v>4186628</v>
      </c>
    </row>
    <row r="10" spans="1:10" x14ac:dyDescent="0.35">
      <c r="A10" s="7" t="s">
        <v>18</v>
      </c>
      <c r="B10">
        <v>16480485</v>
      </c>
      <c r="C10">
        <v>654036</v>
      </c>
      <c r="D10">
        <v>6358362</v>
      </c>
      <c r="E10">
        <v>9468087</v>
      </c>
      <c r="G10" s="7" t="s">
        <v>18</v>
      </c>
      <c r="H10">
        <v>16500955</v>
      </c>
      <c r="I10">
        <v>654022</v>
      </c>
      <c r="J10">
        <v>9468062</v>
      </c>
    </row>
  </sheetData>
  <mergeCells count="2">
    <mergeCell ref="A1:E1"/>
    <mergeCell ref="G1:J1"/>
  </mergeCells>
  <pageMargins left="0.7" right="0.7" top="0.75" bottom="0.75" header="0.3" footer="0.3"/>
  <drawing r:id="rId3"/>
  <extLst>
    <ext xmlns:x14="http://schemas.microsoft.com/office/spreadsheetml/2009/9/main" uri="{05C60535-1F16-4fd2-B633-F4F36F0B64E0}">
      <x14:sparklineGroups xmlns:xm="http://schemas.microsoft.com/office/excel/2006/main">
        <x14:sparklineGroup type="column" displayEmptyCellsAs="gap" xr2:uid="{96E7D84C-F8C5-415D-BC4B-45AF6FC510C1}">
          <x14:colorSeries theme="6" tint="0.79998168889431442"/>
          <x14:colorNegative rgb="FFD00000"/>
          <x14:colorAxis rgb="FF000000"/>
          <x14:colorMarkers rgb="FFD00000"/>
          <x14:colorFirst rgb="FFD00000"/>
          <x14:colorLast rgb="FFD00000"/>
          <x14:colorHigh rgb="FFD00000"/>
          <x14:colorLow rgb="FFD00000"/>
          <x14:sparklines>
            <x14:sparkline>
              <xm:f>'Pivot Table 1 - 2'!E3:E9</xm:f>
              <xm:sqref>F10</xm:sqref>
            </x14:sparkline>
          </x14:sparklines>
        </x14:sparklineGroup>
        <x14:sparklineGroup type="column" displayEmptyCellsAs="gap" xr2:uid="{1CD7584B-4992-4941-B105-1DAF9867236A}">
          <x14:colorSeries theme="3" tint="0.89999084444715716"/>
          <x14:colorNegative rgb="FFD00000"/>
          <x14:colorAxis rgb="FF000000"/>
          <x14:colorMarkers rgb="FFD00000"/>
          <x14:colorFirst rgb="FFD00000"/>
          <x14:colorLast rgb="FFD00000"/>
          <x14:colorHigh rgb="FFD00000"/>
          <x14:colorLow rgb="FFD00000"/>
          <x14:sparklines>
            <x14:sparkline>
              <xm:f>'Pivot Table 1 - 2'!B3:B9</xm:f>
              <xm:sqref>F13</xm:sqref>
            </x14:sparkline>
          </x14:sparklines>
        </x14:sparklineGroup>
        <x14:sparklineGroup type="column" displayEmptyCellsAs="gap" xr2:uid="{91DEE675-D179-4654-A627-AF31A1B35355}">
          <x14:colorSeries theme="5" tint="0.79998168889431442"/>
          <x14:colorNegative rgb="FFD00000"/>
          <x14:colorAxis rgb="FF000000"/>
          <x14:colorMarkers rgb="FFD00000"/>
          <x14:colorFirst rgb="FFD00000"/>
          <x14:colorLast rgb="FFD00000"/>
          <x14:colorHigh rgb="FFD00000"/>
          <x14:colorLow rgb="FFD00000"/>
          <x14:sparklines>
            <x14:sparkline>
              <xm:f>'Pivot Table 1 - 2'!C3:C9</xm:f>
              <xm:sqref>F12</xm:sqref>
            </x14:sparkline>
          </x14:sparklines>
        </x14:sparklineGroup>
        <x14:sparklineGroup type="column" displayEmptyCellsAs="gap" xr2:uid="{EB15B5AF-85A8-4AF1-9913-462DE5469CB0}">
          <x14:colorSeries theme="5" tint="0.79998168889431442"/>
          <x14:colorNegative rgb="FFD00000"/>
          <x14:colorAxis rgb="FF000000"/>
          <x14:colorMarkers rgb="FFD00000"/>
          <x14:colorFirst rgb="FFD00000"/>
          <x14:colorLast rgb="FFD00000"/>
          <x14:colorHigh rgb="FFD00000"/>
          <x14:colorLow rgb="FFD00000"/>
          <x14:sparklines>
            <x14:sparkline>
              <xm:f>'Pivot Table 1 - 2'!D3:D9</xm:f>
              <xm:sqref>F11</xm:sqref>
            </x14:sparkline>
          </x14:sparklines>
        </x14:sparklineGroup>
      </x14:sparklineGroup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674C-BF63-4C17-82CD-8FC461CDCA14}">
  <dimension ref="A3:K12"/>
  <sheetViews>
    <sheetView zoomScale="72" zoomScaleNormal="70" workbookViewId="0">
      <selection activeCell="F10" sqref="F10"/>
    </sheetView>
  </sheetViews>
  <sheetFormatPr defaultRowHeight="14.5" x14ac:dyDescent="0.35"/>
  <cols>
    <col min="1" max="1" width="10.453125" bestFit="1" customWidth="1"/>
    <col min="2" max="2" width="21.6328125" bestFit="1" customWidth="1"/>
    <col min="3" max="3" width="17.54296875" bestFit="1" customWidth="1"/>
    <col min="4" max="4" width="26.08984375" bestFit="1" customWidth="1"/>
    <col min="5" max="5" width="17.90625" bestFit="1" customWidth="1"/>
    <col min="6" max="6" width="26.08984375" bestFit="1" customWidth="1"/>
    <col min="7" max="7" width="17.81640625" bestFit="1" customWidth="1"/>
    <col min="8" max="8" width="13.1796875" bestFit="1" customWidth="1"/>
    <col min="9" max="9" width="16" bestFit="1" customWidth="1"/>
    <col min="10" max="10" width="16.81640625" bestFit="1" customWidth="1"/>
    <col min="11" max="11" width="19.54296875" bestFit="1" customWidth="1"/>
    <col min="12" max="12" width="26.08984375" bestFit="1" customWidth="1"/>
    <col min="13" max="13" width="17.81640625" bestFit="1" customWidth="1"/>
    <col min="14" max="14" width="21.6328125" bestFit="1" customWidth="1"/>
    <col min="15" max="15" width="26.08984375" bestFit="1" customWidth="1"/>
    <col min="16" max="16" width="17.81640625" bestFit="1" customWidth="1"/>
    <col min="17" max="17" width="21.6328125" bestFit="1" customWidth="1"/>
    <col min="18" max="18" width="26.08984375" bestFit="1" customWidth="1"/>
    <col min="19" max="19" width="17.81640625" bestFit="1" customWidth="1"/>
    <col min="20" max="20" width="21.6328125" bestFit="1" customWidth="1"/>
    <col min="21" max="21" width="26.08984375" bestFit="1" customWidth="1"/>
    <col min="22" max="22" width="17.81640625" bestFit="1" customWidth="1"/>
    <col min="23" max="23" width="21.6328125" bestFit="1" customWidth="1"/>
    <col min="24" max="24" width="26.08984375" bestFit="1" customWidth="1"/>
    <col min="25" max="25" width="17.81640625" bestFit="1" customWidth="1"/>
    <col min="26" max="26" width="21.6328125" bestFit="1" customWidth="1"/>
    <col min="27" max="27" width="26.08984375" bestFit="1" customWidth="1"/>
    <col min="28" max="28" width="17.81640625" bestFit="1" customWidth="1"/>
    <col min="29" max="29" width="21.6328125" bestFit="1" customWidth="1"/>
    <col min="30" max="30" width="26.08984375" bestFit="1" customWidth="1"/>
    <col min="31" max="31" width="17.81640625" bestFit="1" customWidth="1"/>
    <col min="32" max="32" width="21.6328125" bestFit="1" customWidth="1"/>
    <col min="33" max="33" width="26.08984375" bestFit="1" customWidth="1"/>
    <col min="34" max="34" width="17.81640625" bestFit="1" customWidth="1"/>
    <col min="35" max="35" width="21.6328125" bestFit="1" customWidth="1"/>
    <col min="36" max="36" width="26.08984375" bestFit="1" customWidth="1"/>
    <col min="37" max="37" width="17.81640625" bestFit="1" customWidth="1"/>
    <col min="38" max="38" width="21.6328125" bestFit="1" customWidth="1"/>
    <col min="39" max="39" width="26.08984375" bestFit="1" customWidth="1"/>
    <col min="40" max="40" width="17.81640625" bestFit="1" customWidth="1"/>
    <col min="41" max="41" width="21.6328125" bestFit="1" customWidth="1"/>
    <col min="42" max="42" width="26.08984375" bestFit="1" customWidth="1"/>
    <col min="43" max="43" width="17.81640625" bestFit="1" customWidth="1"/>
    <col min="44" max="44" width="21.6328125" bestFit="1" customWidth="1"/>
    <col min="45" max="45" width="26.08984375" bestFit="1" customWidth="1"/>
    <col min="46" max="46" width="17.81640625" bestFit="1" customWidth="1"/>
    <col min="47" max="47" width="21.6328125" bestFit="1" customWidth="1"/>
    <col min="48" max="48" width="26.08984375" bestFit="1" customWidth="1"/>
    <col min="49" max="49" width="17.81640625" bestFit="1" customWidth="1"/>
    <col min="50" max="50" width="21.6328125" bestFit="1" customWidth="1"/>
    <col min="51" max="51" width="26.08984375" bestFit="1" customWidth="1"/>
    <col min="52" max="52" width="17.81640625" bestFit="1" customWidth="1"/>
    <col min="53" max="53" width="21.6328125" bestFit="1" customWidth="1"/>
    <col min="54" max="54" width="26.08984375" bestFit="1" customWidth="1"/>
    <col min="55" max="55" width="17.81640625" bestFit="1" customWidth="1"/>
    <col min="56" max="56" width="21.6328125" bestFit="1" customWidth="1"/>
    <col min="57" max="57" width="26.08984375" bestFit="1" customWidth="1"/>
    <col min="58" max="58" width="17.81640625" bestFit="1" customWidth="1"/>
    <col min="59" max="59" width="21.6328125" bestFit="1" customWidth="1"/>
    <col min="60" max="60" width="26.08984375" bestFit="1" customWidth="1"/>
    <col min="61" max="61" width="17.81640625" bestFit="1" customWidth="1"/>
    <col min="62" max="62" width="21.6328125" bestFit="1" customWidth="1"/>
    <col min="63" max="63" width="26.08984375" bestFit="1" customWidth="1"/>
    <col min="64" max="64" width="17.81640625" bestFit="1" customWidth="1"/>
    <col min="65" max="65" width="21.6328125" bestFit="1" customWidth="1"/>
    <col min="66" max="66" width="26.08984375" bestFit="1" customWidth="1"/>
    <col min="67" max="67" width="17.81640625" bestFit="1" customWidth="1"/>
    <col min="68" max="68" width="21.6328125" bestFit="1" customWidth="1"/>
    <col min="69" max="69" width="26.08984375" bestFit="1" customWidth="1"/>
    <col min="70" max="70" width="17.81640625" bestFit="1" customWidth="1"/>
    <col min="71" max="71" width="21.6328125" bestFit="1" customWidth="1"/>
    <col min="72" max="72" width="26.08984375" bestFit="1" customWidth="1"/>
    <col min="73" max="73" width="17.81640625" bestFit="1" customWidth="1"/>
    <col min="74" max="74" width="21.6328125" bestFit="1" customWidth="1"/>
    <col min="75" max="75" width="26.08984375" bestFit="1" customWidth="1"/>
    <col min="76" max="76" width="17.81640625" bestFit="1" customWidth="1"/>
    <col min="77" max="77" width="21.6328125" bestFit="1" customWidth="1"/>
    <col min="78" max="78" width="26.08984375" bestFit="1" customWidth="1"/>
    <col min="79" max="79" width="17.81640625" bestFit="1" customWidth="1"/>
    <col min="80" max="80" width="21.6328125" bestFit="1" customWidth="1"/>
    <col min="81" max="81" width="26.08984375" bestFit="1" customWidth="1"/>
    <col min="82" max="82" width="17.81640625" bestFit="1" customWidth="1"/>
    <col min="83" max="83" width="21.6328125" bestFit="1" customWidth="1"/>
    <col min="84" max="84" width="26.08984375" bestFit="1" customWidth="1"/>
    <col min="85" max="85" width="17.81640625" bestFit="1" customWidth="1"/>
    <col min="86" max="86" width="21.6328125" bestFit="1" customWidth="1"/>
    <col min="87" max="87" width="26.08984375" bestFit="1" customWidth="1"/>
    <col min="88" max="88" width="17.81640625" bestFit="1" customWidth="1"/>
    <col min="89" max="89" width="21.6328125" bestFit="1" customWidth="1"/>
    <col min="90" max="90" width="26.08984375" bestFit="1" customWidth="1"/>
    <col min="91" max="91" width="17.81640625" bestFit="1" customWidth="1"/>
    <col min="92" max="92" width="21.6328125" bestFit="1" customWidth="1"/>
    <col min="93" max="93" width="26.08984375" bestFit="1" customWidth="1"/>
    <col min="94" max="94" width="17.81640625" bestFit="1" customWidth="1"/>
    <col min="95" max="95" width="21.6328125" bestFit="1" customWidth="1"/>
    <col min="96" max="96" width="26.08984375" bestFit="1" customWidth="1"/>
    <col min="97" max="97" width="17.81640625" bestFit="1" customWidth="1"/>
    <col min="98" max="98" width="21.6328125" bestFit="1" customWidth="1"/>
    <col min="99" max="99" width="26.08984375" bestFit="1" customWidth="1"/>
    <col min="100" max="100" width="17.81640625" bestFit="1" customWidth="1"/>
    <col min="101" max="101" width="21.6328125" bestFit="1" customWidth="1"/>
    <col min="102" max="102" width="26.08984375" bestFit="1" customWidth="1"/>
    <col min="103" max="103" width="17.81640625" bestFit="1" customWidth="1"/>
    <col min="104" max="104" width="21.6328125" bestFit="1" customWidth="1"/>
    <col min="105" max="105" width="26.08984375" bestFit="1" customWidth="1"/>
    <col min="106" max="106" width="17.81640625" bestFit="1" customWidth="1"/>
    <col min="107" max="107" width="21.6328125" bestFit="1" customWidth="1"/>
    <col min="108" max="108" width="26.08984375" bestFit="1" customWidth="1"/>
    <col min="109" max="109" width="17.81640625" bestFit="1" customWidth="1"/>
    <col min="110" max="110" width="21.6328125" bestFit="1" customWidth="1"/>
    <col min="111" max="111" width="26.08984375" bestFit="1" customWidth="1"/>
    <col min="112" max="112" width="17.81640625" bestFit="1" customWidth="1"/>
    <col min="113" max="113" width="21.6328125" bestFit="1" customWidth="1"/>
    <col min="114" max="114" width="26.08984375" bestFit="1" customWidth="1"/>
    <col min="115" max="115" width="17.81640625" bestFit="1" customWidth="1"/>
    <col min="116" max="116" width="21.6328125" bestFit="1" customWidth="1"/>
    <col min="117" max="117" width="26.08984375" bestFit="1" customWidth="1"/>
    <col min="118" max="118" width="17.81640625" bestFit="1" customWidth="1"/>
    <col min="119" max="119" width="21.6328125" bestFit="1" customWidth="1"/>
    <col min="120" max="120" width="26.08984375" bestFit="1" customWidth="1"/>
    <col min="121" max="121" width="17.81640625" bestFit="1" customWidth="1"/>
    <col min="122" max="122" width="21.6328125" bestFit="1" customWidth="1"/>
    <col min="123" max="123" width="26.08984375" bestFit="1" customWidth="1"/>
    <col min="124" max="124" width="17.81640625" bestFit="1" customWidth="1"/>
    <col min="125" max="125" width="21.6328125" bestFit="1" customWidth="1"/>
    <col min="126" max="126" width="26.08984375" bestFit="1" customWidth="1"/>
    <col min="127" max="127" width="17.81640625" bestFit="1" customWidth="1"/>
    <col min="128" max="128" width="21.6328125" bestFit="1" customWidth="1"/>
    <col min="129" max="129" width="26.08984375" bestFit="1" customWidth="1"/>
    <col min="130" max="130" width="17.81640625" bestFit="1" customWidth="1"/>
    <col min="131" max="131" width="21.6328125" bestFit="1" customWidth="1"/>
    <col min="132" max="132" width="26.08984375" bestFit="1" customWidth="1"/>
    <col min="133" max="133" width="17.81640625" bestFit="1" customWidth="1"/>
    <col min="134" max="134" width="21.6328125" bestFit="1" customWidth="1"/>
    <col min="135" max="135" width="26.08984375" bestFit="1" customWidth="1"/>
    <col min="136" max="136" width="17.81640625" bestFit="1" customWidth="1"/>
    <col min="137" max="137" width="21.6328125" bestFit="1" customWidth="1"/>
    <col min="138" max="138" width="26.08984375" bestFit="1" customWidth="1"/>
    <col min="139" max="139" width="17.81640625" bestFit="1" customWidth="1"/>
    <col min="140" max="140" width="21.6328125" bestFit="1" customWidth="1"/>
    <col min="141" max="141" width="26.08984375" bestFit="1" customWidth="1"/>
    <col min="142" max="142" width="17.81640625" bestFit="1" customWidth="1"/>
    <col min="143" max="143" width="21.6328125" bestFit="1" customWidth="1"/>
    <col min="144" max="144" width="26.08984375" bestFit="1" customWidth="1"/>
    <col min="145" max="145" width="17.81640625" bestFit="1" customWidth="1"/>
    <col min="146" max="146" width="21.6328125" bestFit="1" customWidth="1"/>
    <col min="147" max="147" width="26.08984375" bestFit="1" customWidth="1"/>
    <col min="148" max="148" width="17.81640625" bestFit="1" customWidth="1"/>
    <col min="149" max="149" width="21.6328125" bestFit="1" customWidth="1"/>
    <col min="150" max="150" width="26.08984375" bestFit="1" customWidth="1"/>
    <col min="151" max="151" width="17.81640625" bestFit="1" customWidth="1"/>
    <col min="152" max="152" width="21.6328125" bestFit="1" customWidth="1"/>
    <col min="153" max="153" width="26.08984375" bestFit="1" customWidth="1"/>
    <col min="154" max="154" width="17.81640625" bestFit="1" customWidth="1"/>
    <col min="155" max="155" width="21.6328125" bestFit="1" customWidth="1"/>
    <col min="156" max="156" width="26.08984375" bestFit="1" customWidth="1"/>
    <col min="157" max="157" width="17.81640625" bestFit="1" customWidth="1"/>
    <col min="158" max="158" width="21.6328125" bestFit="1" customWidth="1"/>
    <col min="159" max="159" width="26.08984375" bestFit="1" customWidth="1"/>
    <col min="160" max="160" width="17.81640625" bestFit="1" customWidth="1"/>
    <col min="161" max="161" width="21.6328125" bestFit="1" customWidth="1"/>
    <col min="162" max="162" width="26.08984375" bestFit="1" customWidth="1"/>
    <col min="163" max="163" width="17.81640625" bestFit="1" customWidth="1"/>
    <col min="164" max="164" width="21.6328125" bestFit="1" customWidth="1"/>
    <col min="165" max="165" width="26.08984375" bestFit="1" customWidth="1"/>
    <col min="166" max="166" width="17.81640625" bestFit="1" customWidth="1"/>
    <col min="167" max="167" width="21.6328125" bestFit="1" customWidth="1"/>
    <col min="168" max="168" width="26.08984375" bestFit="1" customWidth="1"/>
    <col min="169" max="169" width="17.81640625" bestFit="1" customWidth="1"/>
    <col min="170" max="170" width="21.6328125" bestFit="1" customWidth="1"/>
    <col min="171" max="171" width="26.08984375" bestFit="1" customWidth="1"/>
    <col min="172" max="172" width="17.81640625" bestFit="1" customWidth="1"/>
    <col min="173" max="173" width="21.6328125" bestFit="1" customWidth="1"/>
    <col min="174" max="174" width="26.08984375" bestFit="1" customWidth="1"/>
    <col min="175" max="175" width="17.81640625" bestFit="1" customWidth="1"/>
    <col min="176" max="176" width="21.6328125" bestFit="1" customWidth="1"/>
    <col min="177" max="177" width="26.08984375" bestFit="1" customWidth="1"/>
    <col min="178" max="178" width="17.81640625" bestFit="1" customWidth="1"/>
    <col min="179" max="179" width="21.6328125" bestFit="1" customWidth="1"/>
    <col min="180" max="180" width="26.08984375" bestFit="1" customWidth="1"/>
    <col min="181" max="181" width="17.81640625" bestFit="1" customWidth="1"/>
    <col min="182" max="182" width="21.6328125" bestFit="1" customWidth="1"/>
    <col min="183" max="183" width="26.08984375" bestFit="1" customWidth="1"/>
    <col min="184" max="184" width="17.81640625" bestFit="1" customWidth="1"/>
    <col min="185" max="185" width="21.6328125" bestFit="1" customWidth="1"/>
    <col min="186" max="186" width="26.08984375" bestFit="1" customWidth="1"/>
    <col min="187" max="187" width="17.81640625" bestFit="1" customWidth="1"/>
    <col min="188" max="188" width="21.6328125" bestFit="1" customWidth="1"/>
    <col min="189" max="189" width="26.08984375" bestFit="1" customWidth="1"/>
    <col min="190" max="190" width="17.81640625" bestFit="1" customWidth="1"/>
    <col min="191" max="191" width="21.6328125" bestFit="1" customWidth="1"/>
    <col min="192" max="192" width="26.08984375" bestFit="1" customWidth="1"/>
    <col min="193" max="193" width="17.81640625" bestFit="1" customWidth="1"/>
    <col min="194" max="194" width="21.6328125" bestFit="1" customWidth="1"/>
    <col min="195" max="195" width="26.08984375" bestFit="1" customWidth="1"/>
    <col min="196" max="196" width="17.81640625" bestFit="1" customWidth="1"/>
    <col min="197" max="197" width="21.6328125" bestFit="1" customWidth="1"/>
    <col min="198" max="198" width="26.08984375" bestFit="1" customWidth="1"/>
    <col min="199" max="199" width="17.81640625" bestFit="1" customWidth="1"/>
    <col min="200" max="200" width="21.6328125" bestFit="1" customWidth="1"/>
    <col min="201" max="201" width="26.08984375" bestFit="1" customWidth="1"/>
    <col min="202" max="202" width="17.81640625" bestFit="1" customWidth="1"/>
    <col min="203" max="203" width="21.6328125" bestFit="1" customWidth="1"/>
    <col min="204" max="204" width="26.08984375" bestFit="1" customWidth="1"/>
    <col min="205" max="205" width="17.81640625" bestFit="1" customWidth="1"/>
    <col min="206" max="206" width="21.6328125" bestFit="1" customWidth="1"/>
    <col min="207" max="207" width="26.08984375" bestFit="1" customWidth="1"/>
    <col min="208" max="208" width="17.81640625" bestFit="1" customWidth="1"/>
    <col min="209" max="209" width="21.6328125" bestFit="1" customWidth="1"/>
    <col min="210" max="210" width="26.08984375" bestFit="1" customWidth="1"/>
    <col min="211" max="211" width="17.81640625" bestFit="1" customWidth="1"/>
    <col min="212" max="212" width="21.6328125" bestFit="1" customWidth="1"/>
    <col min="213" max="213" width="26.08984375" bestFit="1" customWidth="1"/>
    <col min="214" max="214" width="17.81640625" bestFit="1" customWidth="1"/>
    <col min="215" max="215" width="21.6328125" bestFit="1" customWidth="1"/>
    <col min="216" max="216" width="26.08984375" bestFit="1" customWidth="1"/>
    <col min="217" max="217" width="17.81640625" bestFit="1" customWidth="1"/>
    <col min="218" max="218" width="21.6328125" bestFit="1" customWidth="1"/>
    <col min="219" max="219" width="26.08984375" bestFit="1" customWidth="1"/>
    <col min="220" max="220" width="17.81640625" bestFit="1" customWidth="1"/>
    <col min="221" max="221" width="21.6328125" bestFit="1" customWidth="1"/>
    <col min="222" max="222" width="26.08984375" bestFit="1" customWidth="1"/>
    <col min="223" max="223" width="17.81640625" bestFit="1" customWidth="1"/>
    <col min="224" max="224" width="21.6328125" bestFit="1" customWidth="1"/>
    <col min="225" max="225" width="26.08984375" bestFit="1" customWidth="1"/>
    <col min="226" max="226" width="17.81640625" bestFit="1" customWidth="1"/>
    <col min="227" max="227" width="21.6328125" bestFit="1" customWidth="1"/>
    <col min="228" max="228" width="26.08984375" bestFit="1" customWidth="1"/>
    <col min="229" max="229" width="17.81640625" bestFit="1" customWidth="1"/>
    <col min="230" max="230" width="21.6328125" bestFit="1" customWidth="1"/>
    <col min="231" max="231" width="26.08984375" bestFit="1" customWidth="1"/>
    <col min="232" max="232" width="17.81640625" bestFit="1" customWidth="1"/>
    <col min="233" max="233" width="21.6328125" bestFit="1" customWidth="1"/>
    <col min="234" max="234" width="26.08984375" bestFit="1" customWidth="1"/>
    <col min="235" max="235" width="17.81640625" bestFit="1" customWidth="1"/>
    <col min="236" max="236" width="21.6328125" bestFit="1" customWidth="1"/>
    <col min="237" max="237" width="26.08984375" bestFit="1" customWidth="1"/>
    <col min="238" max="238" width="17.81640625" bestFit="1" customWidth="1"/>
    <col min="239" max="239" width="21.6328125" bestFit="1" customWidth="1"/>
    <col min="240" max="240" width="26.08984375" bestFit="1" customWidth="1"/>
    <col min="241" max="241" width="17.81640625" bestFit="1" customWidth="1"/>
    <col min="242" max="242" width="21.6328125" bestFit="1" customWidth="1"/>
    <col min="243" max="243" width="26.08984375" bestFit="1" customWidth="1"/>
    <col min="244" max="244" width="17.81640625" bestFit="1" customWidth="1"/>
    <col min="245" max="245" width="21.6328125" bestFit="1" customWidth="1"/>
    <col min="246" max="246" width="26.08984375" bestFit="1" customWidth="1"/>
    <col min="247" max="247" width="17.81640625" bestFit="1" customWidth="1"/>
    <col min="248" max="248" width="21.6328125" bestFit="1" customWidth="1"/>
    <col min="249" max="249" width="26.08984375" bestFit="1" customWidth="1"/>
    <col min="250" max="250" width="17.81640625" bestFit="1" customWidth="1"/>
    <col min="251" max="251" width="21.6328125" bestFit="1" customWidth="1"/>
    <col min="252" max="252" width="26.08984375" bestFit="1" customWidth="1"/>
    <col min="253" max="253" width="17.81640625" bestFit="1" customWidth="1"/>
    <col min="254" max="254" width="21.6328125" bestFit="1" customWidth="1"/>
    <col min="255" max="255" width="26.08984375" bestFit="1" customWidth="1"/>
    <col min="256" max="256" width="17.81640625" bestFit="1" customWidth="1"/>
    <col min="257" max="257" width="21.6328125" bestFit="1" customWidth="1"/>
    <col min="258" max="258" width="26.08984375" bestFit="1" customWidth="1"/>
    <col min="259" max="259" width="17.81640625" bestFit="1" customWidth="1"/>
    <col min="260" max="260" width="21.6328125" bestFit="1" customWidth="1"/>
    <col min="261" max="261" width="26.08984375" bestFit="1" customWidth="1"/>
    <col min="262" max="262" width="17.81640625" bestFit="1" customWidth="1"/>
    <col min="263" max="263" width="21.6328125" bestFit="1" customWidth="1"/>
    <col min="264" max="264" width="26.08984375" bestFit="1" customWidth="1"/>
    <col min="265" max="265" width="17.81640625" bestFit="1" customWidth="1"/>
    <col min="266" max="266" width="21.6328125" bestFit="1" customWidth="1"/>
    <col min="267" max="267" width="26.08984375" bestFit="1" customWidth="1"/>
    <col min="268" max="268" width="17.81640625" bestFit="1" customWidth="1"/>
    <col min="269" max="269" width="21.6328125" bestFit="1" customWidth="1"/>
    <col min="270" max="270" width="26.08984375" bestFit="1" customWidth="1"/>
    <col min="271" max="271" width="17.81640625" bestFit="1" customWidth="1"/>
    <col min="272" max="272" width="21.6328125" bestFit="1" customWidth="1"/>
    <col min="273" max="273" width="26.08984375" bestFit="1" customWidth="1"/>
    <col min="274" max="274" width="17.81640625" bestFit="1" customWidth="1"/>
    <col min="275" max="275" width="21.6328125" bestFit="1" customWidth="1"/>
    <col min="276" max="276" width="26.08984375" bestFit="1" customWidth="1"/>
    <col min="277" max="277" width="17.81640625" bestFit="1" customWidth="1"/>
    <col min="278" max="278" width="21.6328125" bestFit="1" customWidth="1"/>
    <col min="279" max="279" width="26.08984375" bestFit="1" customWidth="1"/>
    <col min="280" max="280" width="17.81640625" bestFit="1" customWidth="1"/>
    <col min="281" max="281" width="21.6328125" bestFit="1" customWidth="1"/>
    <col min="282" max="282" width="26.08984375" bestFit="1" customWidth="1"/>
    <col min="283" max="283" width="17.81640625" bestFit="1" customWidth="1"/>
    <col min="284" max="284" width="21.6328125" bestFit="1" customWidth="1"/>
    <col min="285" max="285" width="26.08984375" bestFit="1" customWidth="1"/>
    <col min="286" max="286" width="17.81640625" bestFit="1" customWidth="1"/>
    <col min="287" max="287" width="21.6328125" bestFit="1" customWidth="1"/>
    <col min="288" max="288" width="26.08984375" bestFit="1" customWidth="1"/>
    <col min="289" max="289" width="17.81640625" bestFit="1" customWidth="1"/>
    <col min="290" max="290" width="21.6328125" bestFit="1" customWidth="1"/>
    <col min="291" max="291" width="26.08984375" bestFit="1" customWidth="1"/>
    <col min="292" max="292" width="17.81640625" bestFit="1" customWidth="1"/>
    <col min="293" max="293" width="21.6328125" bestFit="1" customWidth="1"/>
    <col min="294" max="294" width="26.08984375" bestFit="1" customWidth="1"/>
    <col min="295" max="295" width="17.81640625" bestFit="1" customWidth="1"/>
    <col min="296" max="296" width="21.6328125" bestFit="1" customWidth="1"/>
    <col min="297" max="297" width="26.08984375" bestFit="1" customWidth="1"/>
    <col min="298" max="298" width="17.81640625" bestFit="1" customWidth="1"/>
    <col min="299" max="299" width="21.6328125" bestFit="1" customWidth="1"/>
    <col min="300" max="300" width="26.08984375" bestFit="1" customWidth="1"/>
    <col min="301" max="301" width="17.81640625" bestFit="1" customWidth="1"/>
    <col min="302" max="302" width="21.6328125" bestFit="1" customWidth="1"/>
    <col min="303" max="303" width="26.08984375" bestFit="1" customWidth="1"/>
    <col min="304" max="304" width="17.81640625" bestFit="1" customWidth="1"/>
    <col min="305" max="305" width="21.6328125" bestFit="1" customWidth="1"/>
    <col min="306" max="306" width="26.08984375" bestFit="1" customWidth="1"/>
    <col min="307" max="307" width="17.81640625" bestFit="1" customWidth="1"/>
    <col min="308" max="308" width="21.6328125" bestFit="1" customWidth="1"/>
    <col min="309" max="309" width="26.08984375" bestFit="1" customWidth="1"/>
    <col min="310" max="310" width="17.81640625" bestFit="1" customWidth="1"/>
    <col min="311" max="311" width="21.6328125" bestFit="1" customWidth="1"/>
    <col min="312" max="312" width="26.08984375" bestFit="1" customWidth="1"/>
    <col min="313" max="313" width="17.81640625" bestFit="1" customWidth="1"/>
    <col min="314" max="314" width="21.6328125" bestFit="1" customWidth="1"/>
    <col min="315" max="315" width="26.08984375" bestFit="1" customWidth="1"/>
    <col min="316" max="316" width="17.81640625" bestFit="1" customWidth="1"/>
    <col min="317" max="317" width="21.6328125" bestFit="1" customWidth="1"/>
    <col min="318" max="318" width="26.08984375" bestFit="1" customWidth="1"/>
    <col min="319" max="319" width="17.81640625" bestFit="1" customWidth="1"/>
    <col min="320" max="320" width="21.6328125" bestFit="1" customWidth="1"/>
    <col min="321" max="321" width="26.08984375" bestFit="1" customWidth="1"/>
    <col min="322" max="322" width="17.81640625" bestFit="1" customWidth="1"/>
    <col min="323" max="323" width="21.6328125" bestFit="1" customWidth="1"/>
    <col min="324" max="324" width="26.08984375" bestFit="1" customWidth="1"/>
    <col min="325" max="325" width="17.81640625" bestFit="1" customWidth="1"/>
    <col min="326" max="326" width="21.6328125" bestFit="1" customWidth="1"/>
    <col min="327" max="327" width="26.08984375" bestFit="1" customWidth="1"/>
    <col min="328" max="328" width="17.81640625" bestFit="1" customWidth="1"/>
    <col min="329" max="329" width="21.6328125" bestFit="1" customWidth="1"/>
    <col min="330" max="330" width="26.08984375" bestFit="1" customWidth="1"/>
    <col min="331" max="331" width="17.81640625" bestFit="1" customWidth="1"/>
    <col min="332" max="332" width="21.6328125" bestFit="1" customWidth="1"/>
    <col min="333" max="333" width="26.08984375" bestFit="1" customWidth="1"/>
    <col min="334" max="334" width="17.81640625" bestFit="1" customWidth="1"/>
    <col min="335" max="335" width="21.6328125" bestFit="1" customWidth="1"/>
    <col min="336" max="336" width="26.08984375" bestFit="1" customWidth="1"/>
    <col min="337" max="337" width="17.81640625" bestFit="1" customWidth="1"/>
    <col min="338" max="338" width="21.6328125" bestFit="1" customWidth="1"/>
    <col min="339" max="339" width="26.08984375" bestFit="1" customWidth="1"/>
    <col min="340" max="340" width="17.81640625" bestFit="1" customWidth="1"/>
    <col min="341" max="341" width="21.6328125" bestFit="1" customWidth="1"/>
    <col min="342" max="342" width="26.08984375" bestFit="1" customWidth="1"/>
    <col min="343" max="343" width="17.81640625" bestFit="1" customWidth="1"/>
    <col min="344" max="344" width="21.6328125" bestFit="1" customWidth="1"/>
    <col min="345" max="345" width="26.08984375" bestFit="1" customWidth="1"/>
    <col min="346" max="346" width="17.81640625" bestFit="1" customWidth="1"/>
    <col min="347" max="347" width="21.6328125" bestFit="1" customWidth="1"/>
    <col min="348" max="348" width="26.08984375" bestFit="1" customWidth="1"/>
    <col min="349" max="349" width="17.81640625" bestFit="1" customWidth="1"/>
    <col min="350" max="350" width="21.6328125" bestFit="1" customWidth="1"/>
    <col min="351" max="351" width="26.08984375" bestFit="1" customWidth="1"/>
    <col min="352" max="352" width="17.81640625" bestFit="1" customWidth="1"/>
    <col min="353" max="353" width="21.6328125" bestFit="1" customWidth="1"/>
    <col min="354" max="354" width="26.08984375" bestFit="1" customWidth="1"/>
    <col min="355" max="355" width="17.81640625" bestFit="1" customWidth="1"/>
    <col min="356" max="356" width="21.6328125" bestFit="1" customWidth="1"/>
    <col min="357" max="357" width="26.08984375" bestFit="1" customWidth="1"/>
    <col min="358" max="358" width="17.81640625" bestFit="1" customWidth="1"/>
    <col min="359" max="359" width="21.6328125" bestFit="1" customWidth="1"/>
    <col min="360" max="360" width="26.08984375" bestFit="1" customWidth="1"/>
    <col min="361" max="361" width="17.81640625" bestFit="1" customWidth="1"/>
    <col min="362" max="362" width="21.6328125" bestFit="1" customWidth="1"/>
    <col min="363" max="363" width="26.08984375" bestFit="1" customWidth="1"/>
    <col min="364" max="364" width="17.81640625" bestFit="1" customWidth="1"/>
    <col min="365" max="365" width="21.6328125" bestFit="1" customWidth="1"/>
    <col min="366" max="366" width="26.08984375" bestFit="1" customWidth="1"/>
    <col min="367" max="367" width="17.81640625" bestFit="1" customWidth="1"/>
    <col min="368" max="368" width="21.6328125" bestFit="1" customWidth="1"/>
    <col min="369" max="369" width="26.08984375" bestFit="1" customWidth="1"/>
    <col min="370" max="370" width="17.81640625" bestFit="1" customWidth="1"/>
    <col min="371" max="371" width="21.6328125" bestFit="1" customWidth="1"/>
    <col min="372" max="372" width="26.08984375" bestFit="1" customWidth="1"/>
    <col min="373" max="373" width="17.81640625" bestFit="1" customWidth="1"/>
    <col min="374" max="374" width="21.6328125" bestFit="1" customWidth="1"/>
    <col min="375" max="375" width="26.08984375" bestFit="1" customWidth="1"/>
    <col min="376" max="376" width="17.81640625" bestFit="1" customWidth="1"/>
    <col min="377" max="377" width="21.6328125" bestFit="1" customWidth="1"/>
    <col min="378" max="378" width="26.08984375" bestFit="1" customWidth="1"/>
    <col min="379" max="379" width="17.81640625" bestFit="1" customWidth="1"/>
    <col min="380" max="380" width="21.6328125" bestFit="1" customWidth="1"/>
    <col min="381" max="381" width="26.08984375" bestFit="1" customWidth="1"/>
    <col min="382" max="382" width="17.81640625" bestFit="1" customWidth="1"/>
    <col min="383" max="383" width="21.6328125" bestFit="1" customWidth="1"/>
    <col min="384" max="384" width="26.08984375" bestFit="1" customWidth="1"/>
    <col min="385" max="385" width="17.81640625" bestFit="1" customWidth="1"/>
    <col min="386" max="386" width="21.6328125" bestFit="1" customWidth="1"/>
    <col min="387" max="387" width="26.08984375" bestFit="1" customWidth="1"/>
    <col min="388" max="388" width="17.81640625" bestFit="1" customWidth="1"/>
    <col min="389" max="389" width="21.6328125" bestFit="1" customWidth="1"/>
    <col min="390" max="390" width="26.08984375" bestFit="1" customWidth="1"/>
    <col min="391" max="391" width="17.81640625" bestFit="1" customWidth="1"/>
    <col min="392" max="392" width="21.6328125" bestFit="1" customWidth="1"/>
    <col min="393" max="393" width="26.08984375" bestFit="1" customWidth="1"/>
    <col min="394" max="394" width="17.81640625" bestFit="1" customWidth="1"/>
    <col min="395" max="395" width="21.6328125" bestFit="1" customWidth="1"/>
    <col min="396" max="396" width="26.08984375" bestFit="1" customWidth="1"/>
    <col min="397" max="397" width="17.81640625" bestFit="1" customWidth="1"/>
    <col min="398" max="398" width="21.6328125" bestFit="1" customWidth="1"/>
    <col min="399" max="399" width="26.08984375" bestFit="1" customWidth="1"/>
    <col min="400" max="400" width="17.81640625" bestFit="1" customWidth="1"/>
    <col min="401" max="401" width="21.6328125" bestFit="1" customWidth="1"/>
    <col min="402" max="402" width="26.08984375" bestFit="1" customWidth="1"/>
    <col min="403" max="403" width="17.81640625" bestFit="1" customWidth="1"/>
    <col min="404" max="404" width="21.6328125" bestFit="1" customWidth="1"/>
    <col min="405" max="405" width="26.08984375" bestFit="1" customWidth="1"/>
    <col min="406" max="406" width="17.81640625" bestFit="1" customWidth="1"/>
    <col min="407" max="407" width="21.6328125" bestFit="1" customWidth="1"/>
    <col min="408" max="408" width="26.08984375" bestFit="1" customWidth="1"/>
    <col min="409" max="409" width="17.81640625" bestFit="1" customWidth="1"/>
    <col min="410" max="410" width="21.6328125" bestFit="1" customWidth="1"/>
    <col min="411" max="411" width="26.08984375" bestFit="1" customWidth="1"/>
    <col min="412" max="412" width="17.81640625" bestFit="1" customWidth="1"/>
    <col min="413" max="413" width="21.6328125" bestFit="1" customWidth="1"/>
    <col min="414" max="414" width="26.08984375" bestFit="1" customWidth="1"/>
    <col min="415" max="415" width="17.81640625" bestFit="1" customWidth="1"/>
    <col min="416" max="416" width="21.6328125" bestFit="1" customWidth="1"/>
    <col min="417" max="417" width="26.08984375" bestFit="1" customWidth="1"/>
    <col min="418" max="418" width="17.81640625" bestFit="1" customWidth="1"/>
    <col min="419" max="419" width="21.6328125" bestFit="1" customWidth="1"/>
    <col min="420" max="420" width="26.08984375" bestFit="1" customWidth="1"/>
    <col min="421" max="421" width="17.81640625" bestFit="1" customWidth="1"/>
    <col min="422" max="422" width="21.6328125" bestFit="1" customWidth="1"/>
    <col min="423" max="423" width="26.08984375" bestFit="1" customWidth="1"/>
    <col min="424" max="424" width="17.81640625" bestFit="1" customWidth="1"/>
    <col min="425" max="425" width="21.6328125" bestFit="1" customWidth="1"/>
    <col min="426" max="426" width="26.08984375" bestFit="1" customWidth="1"/>
    <col min="427" max="427" width="17.81640625" bestFit="1" customWidth="1"/>
    <col min="428" max="428" width="21.6328125" bestFit="1" customWidth="1"/>
    <col min="429" max="429" width="26.08984375" bestFit="1" customWidth="1"/>
    <col min="430" max="430" width="17.81640625" bestFit="1" customWidth="1"/>
    <col min="431" max="431" width="21.6328125" bestFit="1" customWidth="1"/>
    <col min="432" max="432" width="26.08984375" bestFit="1" customWidth="1"/>
    <col min="433" max="433" width="17.81640625" bestFit="1" customWidth="1"/>
    <col min="434" max="434" width="21.6328125" bestFit="1" customWidth="1"/>
    <col min="435" max="435" width="26.08984375" bestFit="1" customWidth="1"/>
    <col min="436" max="436" width="17.81640625" bestFit="1" customWidth="1"/>
    <col min="437" max="437" width="21.6328125" bestFit="1" customWidth="1"/>
    <col min="438" max="438" width="26.08984375" bestFit="1" customWidth="1"/>
    <col min="439" max="439" width="17.81640625" bestFit="1" customWidth="1"/>
    <col min="440" max="440" width="21.6328125" bestFit="1" customWidth="1"/>
    <col min="441" max="441" width="26.08984375" bestFit="1" customWidth="1"/>
    <col min="442" max="442" width="17.81640625" bestFit="1" customWidth="1"/>
    <col min="443" max="443" width="21.6328125" bestFit="1" customWidth="1"/>
    <col min="444" max="444" width="26.08984375" bestFit="1" customWidth="1"/>
    <col min="445" max="445" width="17.81640625" bestFit="1" customWidth="1"/>
    <col min="446" max="446" width="21.6328125" bestFit="1" customWidth="1"/>
    <col min="447" max="447" width="26.08984375" bestFit="1" customWidth="1"/>
    <col min="448" max="448" width="17.81640625" bestFit="1" customWidth="1"/>
    <col min="449" max="449" width="21.6328125" bestFit="1" customWidth="1"/>
    <col min="450" max="450" width="26.08984375" bestFit="1" customWidth="1"/>
    <col min="451" max="451" width="17.81640625" bestFit="1" customWidth="1"/>
    <col min="452" max="452" width="21.6328125" bestFit="1" customWidth="1"/>
    <col min="453" max="453" width="26.08984375" bestFit="1" customWidth="1"/>
    <col min="454" max="454" width="17.81640625" bestFit="1" customWidth="1"/>
    <col min="455" max="455" width="21.6328125" bestFit="1" customWidth="1"/>
    <col min="456" max="456" width="26.08984375" bestFit="1" customWidth="1"/>
    <col min="457" max="457" width="17.81640625" bestFit="1" customWidth="1"/>
    <col min="458" max="458" width="21.6328125" bestFit="1" customWidth="1"/>
    <col min="459" max="459" width="26.08984375" bestFit="1" customWidth="1"/>
    <col min="460" max="460" width="17.81640625" bestFit="1" customWidth="1"/>
    <col min="461" max="461" width="21.6328125" bestFit="1" customWidth="1"/>
    <col min="462" max="462" width="26.08984375" bestFit="1" customWidth="1"/>
    <col min="463" max="463" width="17.81640625" bestFit="1" customWidth="1"/>
    <col min="464" max="464" width="21.6328125" bestFit="1" customWidth="1"/>
    <col min="465" max="465" width="26.08984375" bestFit="1" customWidth="1"/>
    <col min="466" max="466" width="17.81640625" bestFit="1" customWidth="1"/>
    <col min="467" max="467" width="21.6328125" bestFit="1" customWidth="1"/>
    <col min="468" max="468" width="26.08984375" bestFit="1" customWidth="1"/>
    <col min="469" max="469" width="17.81640625" bestFit="1" customWidth="1"/>
    <col min="470" max="470" width="21.6328125" bestFit="1" customWidth="1"/>
    <col min="471" max="471" width="26.08984375" bestFit="1" customWidth="1"/>
    <col min="472" max="472" width="17.81640625" bestFit="1" customWidth="1"/>
    <col min="473" max="473" width="21.6328125" bestFit="1" customWidth="1"/>
    <col min="474" max="474" width="26.08984375" bestFit="1" customWidth="1"/>
    <col min="475" max="475" width="17.81640625" bestFit="1" customWidth="1"/>
    <col min="476" max="476" width="21.6328125" bestFit="1" customWidth="1"/>
    <col min="477" max="477" width="26.08984375" bestFit="1" customWidth="1"/>
    <col min="478" max="478" width="17.81640625" bestFit="1" customWidth="1"/>
    <col min="479" max="479" width="21.6328125" bestFit="1" customWidth="1"/>
    <col min="480" max="480" width="26.08984375" bestFit="1" customWidth="1"/>
    <col min="481" max="481" width="17.81640625" bestFit="1" customWidth="1"/>
    <col min="482" max="482" width="21.6328125" bestFit="1" customWidth="1"/>
    <col min="483" max="483" width="26.08984375" bestFit="1" customWidth="1"/>
    <col min="484" max="484" width="17.81640625" bestFit="1" customWidth="1"/>
    <col min="485" max="485" width="21.6328125" bestFit="1" customWidth="1"/>
    <col min="486" max="486" width="26.08984375" bestFit="1" customWidth="1"/>
    <col min="487" max="487" width="17.81640625" bestFit="1" customWidth="1"/>
    <col min="488" max="488" width="21.6328125" bestFit="1" customWidth="1"/>
    <col min="489" max="489" width="26.08984375" bestFit="1" customWidth="1"/>
    <col min="490" max="490" width="17.81640625" bestFit="1" customWidth="1"/>
    <col min="491" max="491" width="21.6328125" bestFit="1" customWidth="1"/>
    <col min="492" max="492" width="26.08984375" bestFit="1" customWidth="1"/>
    <col min="493" max="493" width="17.81640625" bestFit="1" customWidth="1"/>
    <col min="494" max="494" width="21.6328125" bestFit="1" customWidth="1"/>
    <col min="495" max="495" width="26.08984375" bestFit="1" customWidth="1"/>
    <col min="496" max="496" width="17.81640625" bestFit="1" customWidth="1"/>
    <col min="497" max="497" width="21.6328125" bestFit="1" customWidth="1"/>
    <col min="498" max="498" width="26.08984375" bestFit="1" customWidth="1"/>
    <col min="499" max="499" width="17.81640625" bestFit="1" customWidth="1"/>
    <col min="500" max="500" width="21.6328125" bestFit="1" customWidth="1"/>
    <col min="501" max="501" width="26.08984375" bestFit="1" customWidth="1"/>
    <col min="502" max="502" width="17.81640625" bestFit="1" customWidth="1"/>
    <col min="503" max="503" width="21.6328125" bestFit="1" customWidth="1"/>
    <col min="504" max="504" width="26.08984375" bestFit="1" customWidth="1"/>
    <col min="505" max="505" width="17.81640625" bestFit="1" customWidth="1"/>
    <col min="506" max="506" width="21.6328125" bestFit="1" customWidth="1"/>
    <col min="507" max="507" width="26.08984375" bestFit="1" customWidth="1"/>
    <col min="508" max="508" width="17.81640625" bestFit="1" customWidth="1"/>
    <col min="509" max="509" width="21.6328125" bestFit="1" customWidth="1"/>
    <col min="510" max="510" width="26.08984375" bestFit="1" customWidth="1"/>
    <col min="511" max="511" width="17.81640625" bestFit="1" customWidth="1"/>
    <col min="512" max="512" width="21.6328125" bestFit="1" customWidth="1"/>
    <col min="513" max="513" width="26.08984375" bestFit="1" customWidth="1"/>
    <col min="514" max="514" width="17.81640625" bestFit="1" customWidth="1"/>
    <col min="515" max="515" width="21.6328125" bestFit="1" customWidth="1"/>
    <col min="516" max="516" width="26.08984375" bestFit="1" customWidth="1"/>
    <col min="517" max="517" width="17.81640625" bestFit="1" customWidth="1"/>
    <col min="518" max="518" width="21.6328125" bestFit="1" customWidth="1"/>
    <col min="519" max="519" width="26.08984375" bestFit="1" customWidth="1"/>
    <col min="520" max="520" width="17.81640625" bestFit="1" customWidth="1"/>
    <col min="521" max="521" width="21.6328125" bestFit="1" customWidth="1"/>
    <col min="522" max="522" width="26.08984375" bestFit="1" customWidth="1"/>
    <col min="523" max="523" width="17.81640625" bestFit="1" customWidth="1"/>
    <col min="524" max="524" width="21.6328125" bestFit="1" customWidth="1"/>
    <col min="525" max="525" width="26.08984375" bestFit="1" customWidth="1"/>
    <col min="526" max="526" width="17.81640625" bestFit="1" customWidth="1"/>
    <col min="527" max="527" width="21.6328125" bestFit="1" customWidth="1"/>
    <col min="528" max="528" width="26.08984375" bestFit="1" customWidth="1"/>
    <col min="529" max="529" width="17.81640625" bestFit="1" customWidth="1"/>
    <col min="530" max="530" width="21.6328125" bestFit="1" customWidth="1"/>
    <col min="531" max="531" width="26.08984375" bestFit="1" customWidth="1"/>
    <col min="532" max="532" width="17.81640625" bestFit="1" customWidth="1"/>
    <col min="533" max="533" width="21.6328125" bestFit="1" customWidth="1"/>
    <col min="534" max="534" width="26.08984375" bestFit="1" customWidth="1"/>
    <col min="535" max="535" width="17.81640625" bestFit="1" customWidth="1"/>
    <col min="536" max="536" width="21.6328125" bestFit="1" customWidth="1"/>
    <col min="537" max="537" width="26.08984375" bestFit="1" customWidth="1"/>
    <col min="538" max="538" width="17.81640625" bestFit="1" customWidth="1"/>
    <col min="539" max="539" width="21.6328125" bestFit="1" customWidth="1"/>
    <col min="540" max="540" width="26.08984375" bestFit="1" customWidth="1"/>
    <col min="541" max="541" width="17.81640625" bestFit="1" customWidth="1"/>
    <col min="542" max="542" width="21.6328125" bestFit="1" customWidth="1"/>
    <col min="543" max="543" width="26.08984375" bestFit="1" customWidth="1"/>
    <col min="544" max="544" width="17.81640625" bestFit="1" customWidth="1"/>
    <col min="545" max="545" width="21.6328125" bestFit="1" customWidth="1"/>
    <col min="546" max="546" width="26.08984375" bestFit="1" customWidth="1"/>
    <col min="547" max="547" width="17.81640625" bestFit="1" customWidth="1"/>
    <col min="548" max="548" width="21.6328125" bestFit="1" customWidth="1"/>
    <col min="549" max="549" width="26.08984375" bestFit="1" customWidth="1"/>
    <col min="550" max="550" width="17.81640625" bestFit="1" customWidth="1"/>
    <col min="551" max="551" width="21.6328125" bestFit="1" customWidth="1"/>
    <col min="552" max="552" width="26.08984375" bestFit="1" customWidth="1"/>
    <col min="553" max="553" width="17.81640625" bestFit="1" customWidth="1"/>
    <col min="554" max="554" width="21.6328125" bestFit="1" customWidth="1"/>
    <col min="555" max="555" width="26.08984375" bestFit="1" customWidth="1"/>
    <col min="556" max="556" width="17.81640625" bestFit="1" customWidth="1"/>
    <col min="557" max="557" width="21.6328125" bestFit="1" customWidth="1"/>
    <col min="558" max="558" width="26.08984375" bestFit="1" customWidth="1"/>
    <col min="559" max="559" width="17.81640625" bestFit="1" customWidth="1"/>
    <col min="560" max="560" width="21.6328125" bestFit="1" customWidth="1"/>
    <col min="561" max="561" width="26.08984375" bestFit="1" customWidth="1"/>
    <col min="562" max="562" width="17.81640625" bestFit="1" customWidth="1"/>
    <col min="563" max="563" width="21.6328125" bestFit="1" customWidth="1"/>
    <col min="564" max="564" width="26.08984375" bestFit="1" customWidth="1"/>
    <col min="565" max="565" width="17.81640625" bestFit="1" customWidth="1"/>
    <col min="566" max="566" width="26.1796875" bestFit="1" customWidth="1"/>
    <col min="567" max="567" width="30.6328125" bestFit="1" customWidth="1"/>
    <col min="568" max="568" width="22.36328125" bestFit="1" customWidth="1"/>
    <col min="569" max="569" width="25.36328125" bestFit="1" customWidth="1"/>
    <col min="570" max="570" width="21.6328125" bestFit="1" customWidth="1"/>
    <col min="571" max="571" width="17.81640625" bestFit="1" customWidth="1"/>
    <col min="572" max="572" width="29.08984375" bestFit="1" customWidth="1"/>
    <col min="573" max="573" width="25.36328125" bestFit="1" customWidth="1"/>
    <col min="574" max="574" width="21.6328125" bestFit="1" customWidth="1"/>
    <col min="575" max="575" width="17.81640625" bestFit="1" customWidth="1"/>
    <col min="576" max="576" width="29.08984375" bestFit="1" customWidth="1"/>
    <col min="577" max="577" width="25.36328125" bestFit="1" customWidth="1"/>
    <col min="578" max="578" width="21.6328125" bestFit="1" customWidth="1"/>
    <col min="579" max="579" width="17.81640625" bestFit="1" customWidth="1"/>
    <col min="580" max="580" width="29.08984375" bestFit="1" customWidth="1"/>
    <col min="581" max="581" width="25.36328125" bestFit="1" customWidth="1"/>
    <col min="582" max="582" width="21.6328125" bestFit="1" customWidth="1"/>
    <col min="583" max="583" width="17.81640625" bestFit="1" customWidth="1"/>
    <col min="584" max="584" width="29.08984375" bestFit="1" customWidth="1"/>
    <col min="585" max="585" width="25.36328125" bestFit="1" customWidth="1"/>
    <col min="586" max="586" width="21.6328125" bestFit="1" customWidth="1"/>
    <col min="587" max="587" width="17.81640625" bestFit="1" customWidth="1"/>
    <col min="588" max="588" width="29.08984375" bestFit="1" customWidth="1"/>
    <col min="589" max="589" width="25.36328125" bestFit="1" customWidth="1"/>
    <col min="590" max="590" width="21.6328125" bestFit="1" customWidth="1"/>
    <col min="591" max="591" width="17.81640625" bestFit="1" customWidth="1"/>
    <col min="592" max="592" width="29.08984375" bestFit="1" customWidth="1"/>
    <col min="593" max="593" width="25.36328125" bestFit="1" customWidth="1"/>
    <col min="594" max="594" width="21.6328125" bestFit="1" customWidth="1"/>
    <col min="595" max="595" width="17.81640625" bestFit="1" customWidth="1"/>
    <col min="596" max="596" width="29.08984375" bestFit="1" customWidth="1"/>
    <col min="597" max="597" width="25.36328125" bestFit="1" customWidth="1"/>
    <col min="598" max="598" width="21.6328125" bestFit="1" customWidth="1"/>
    <col min="599" max="599" width="17.81640625" bestFit="1" customWidth="1"/>
    <col min="600" max="600" width="29.08984375" bestFit="1" customWidth="1"/>
    <col min="601" max="601" width="25.36328125" bestFit="1" customWidth="1"/>
    <col min="602" max="602" width="21.6328125" bestFit="1" customWidth="1"/>
    <col min="603" max="603" width="17.81640625" bestFit="1" customWidth="1"/>
    <col min="604" max="604" width="29.08984375" bestFit="1" customWidth="1"/>
    <col min="605" max="605" width="25.36328125" bestFit="1" customWidth="1"/>
    <col min="606" max="606" width="21.6328125" bestFit="1" customWidth="1"/>
    <col min="607" max="607" width="17.81640625" bestFit="1" customWidth="1"/>
    <col min="608" max="608" width="29.08984375" bestFit="1" customWidth="1"/>
    <col min="609" max="609" width="25.36328125" bestFit="1" customWidth="1"/>
    <col min="610" max="610" width="21.6328125" bestFit="1" customWidth="1"/>
    <col min="611" max="611" width="17.81640625" bestFit="1" customWidth="1"/>
    <col min="612" max="612" width="29.08984375" bestFit="1" customWidth="1"/>
    <col min="613" max="613" width="25.36328125" bestFit="1" customWidth="1"/>
    <col min="614" max="614" width="21.6328125" bestFit="1" customWidth="1"/>
    <col min="615" max="615" width="17.81640625" bestFit="1" customWidth="1"/>
    <col min="616" max="616" width="29.08984375" bestFit="1" customWidth="1"/>
    <col min="617" max="617" width="25.36328125" bestFit="1" customWidth="1"/>
    <col min="618" max="618" width="21.6328125" bestFit="1" customWidth="1"/>
    <col min="619" max="619" width="17.81640625" bestFit="1" customWidth="1"/>
    <col min="620" max="620" width="29.08984375" bestFit="1" customWidth="1"/>
    <col min="621" max="621" width="25.36328125" bestFit="1" customWidth="1"/>
    <col min="622" max="622" width="21.6328125" bestFit="1" customWidth="1"/>
    <col min="623" max="623" width="17.81640625" bestFit="1" customWidth="1"/>
    <col min="624" max="624" width="29.08984375" bestFit="1" customWidth="1"/>
    <col min="625" max="625" width="25.36328125" bestFit="1" customWidth="1"/>
    <col min="626" max="626" width="21.6328125" bestFit="1" customWidth="1"/>
    <col min="627" max="627" width="17.81640625" bestFit="1" customWidth="1"/>
    <col min="628" max="628" width="29.08984375" bestFit="1" customWidth="1"/>
    <col min="629" max="629" width="25.36328125" bestFit="1" customWidth="1"/>
    <col min="630" max="630" width="21.6328125" bestFit="1" customWidth="1"/>
    <col min="631" max="631" width="17.81640625" bestFit="1" customWidth="1"/>
    <col min="632" max="632" width="29.08984375" bestFit="1" customWidth="1"/>
    <col min="633" max="633" width="25.36328125" bestFit="1" customWidth="1"/>
    <col min="634" max="634" width="21.6328125" bestFit="1" customWidth="1"/>
    <col min="635" max="635" width="17.81640625" bestFit="1" customWidth="1"/>
    <col min="636" max="636" width="29.08984375" bestFit="1" customWidth="1"/>
    <col min="637" max="637" width="25.36328125" bestFit="1" customWidth="1"/>
    <col min="638" max="638" width="21.6328125" bestFit="1" customWidth="1"/>
    <col min="639" max="639" width="17.81640625" bestFit="1" customWidth="1"/>
    <col min="640" max="640" width="29.08984375" bestFit="1" customWidth="1"/>
    <col min="641" max="641" width="25.36328125" bestFit="1" customWidth="1"/>
    <col min="642" max="642" width="21.6328125" bestFit="1" customWidth="1"/>
    <col min="643" max="643" width="17.81640625" bestFit="1" customWidth="1"/>
    <col min="644" max="644" width="29.08984375" bestFit="1" customWidth="1"/>
    <col min="645" max="645" width="25.36328125" bestFit="1" customWidth="1"/>
    <col min="646" max="646" width="21.6328125" bestFit="1" customWidth="1"/>
    <col min="647" max="647" width="17.81640625" bestFit="1" customWidth="1"/>
    <col min="648" max="648" width="29.08984375" bestFit="1" customWidth="1"/>
    <col min="649" max="649" width="25.36328125" bestFit="1" customWidth="1"/>
    <col min="650" max="650" width="21.6328125" bestFit="1" customWidth="1"/>
    <col min="651" max="651" width="17.81640625" bestFit="1" customWidth="1"/>
    <col min="652" max="652" width="29.08984375" bestFit="1" customWidth="1"/>
    <col min="653" max="653" width="25.36328125" bestFit="1" customWidth="1"/>
    <col min="654" max="654" width="21.6328125" bestFit="1" customWidth="1"/>
    <col min="655" max="655" width="17.81640625" bestFit="1" customWidth="1"/>
    <col min="656" max="656" width="29.08984375" bestFit="1" customWidth="1"/>
    <col min="657" max="657" width="25.36328125" bestFit="1" customWidth="1"/>
    <col min="658" max="658" width="21.6328125" bestFit="1" customWidth="1"/>
    <col min="659" max="659" width="17.81640625" bestFit="1" customWidth="1"/>
    <col min="660" max="660" width="29.08984375" bestFit="1" customWidth="1"/>
    <col min="661" max="661" width="25.36328125" bestFit="1" customWidth="1"/>
    <col min="662" max="662" width="21.6328125" bestFit="1" customWidth="1"/>
    <col min="663" max="663" width="17.81640625" bestFit="1" customWidth="1"/>
    <col min="664" max="664" width="29.08984375" bestFit="1" customWidth="1"/>
    <col min="665" max="665" width="25.36328125" bestFit="1" customWidth="1"/>
    <col min="666" max="666" width="21.6328125" bestFit="1" customWidth="1"/>
    <col min="667" max="667" width="17.81640625" bestFit="1" customWidth="1"/>
    <col min="668" max="668" width="29.08984375" bestFit="1" customWidth="1"/>
    <col min="669" max="669" width="25.36328125" bestFit="1" customWidth="1"/>
    <col min="670" max="670" width="21.6328125" bestFit="1" customWidth="1"/>
    <col min="671" max="671" width="17.81640625" bestFit="1" customWidth="1"/>
    <col min="672" max="672" width="29.08984375" bestFit="1" customWidth="1"/>
    <col min="673" max="673" width="25.36328125" bestFit="1" customWidth="1"/>
    <col min="674" max="674" width="21.6328125" bestFit="1" customWidth="1"/>
    <col min="675" max="675" width="17.81640625" bestFit="1" customWidth="1"/>
    <col min="676" max="676" width="29.08984375" bestFit="1" customWidth="1"/>
    <col min="677" max="677" width="25.36328125" bestFit="1" customWidth="1"/>
    <col min="678" max="678" width="21.6328125" bestFit="1" customWidth="1"/>
    <col min="679" max="679" width="17.81640625" bestFit="1" customWidth="1"/>
    <col min="680" max="680" width="29.08984375" bestFit="1" customWidth="1"/>
    <col min="681" max="681" width="25.36328125" bestFit="1" customWidth="1"/>
    <col min="682" max="682" width="21.6328125" bestFit="1" customWidth="1"/>
    <col min="683" max="683" width="17.81640625" bestFit="1" customWidth="1"/>
    <col min="684" max="684" width="29.08984375" bestFit="1" customWidth="1"/>
    <col min="685" max="685" width="25.36328125" bestFit="1" customWidth="1"/>
    <col min="686" max="686" width="21.6328125" bestFit="1" customWidth="1"/>
    <col min="687" max="687" width="17.81640625" bestFit="1" customWidth="1"/>
    <col min="688" max="688" width="29.08984375" bestFit="1" customWidth="1"/>
    <col min="689" max="689" width="25.36328125" bestFit="1" customWidth="1"/>
    <col min="690" max="690" width="21.6328125" bestFit="1" customWidth="1"/>
    <col min="691" max="691" width="17.81640625" bestFit="1" customWidth="1"/>
    <col min="692" max="692" width="29.08984375" bestFit="1" customWidth="1"/>
    <col min="693" max="693" width="25.36328125" bestFit="1" customWidth="1"/>
    <col min="694" max="694" width="21.6328125" bestFit="1" customWidth="1"/>
    <col min="695" max="695" width="17.81640625" bestFit="1" customWidth="1"/>
    <col min="696" max="696" width="29.08984375" bestFit="1" customWidth="1"/>
    <col min="697" max="697" width="25.36328125" bestFit="1" customWidth="1"/>
    <col min="698" max="698" width="21.6328125" bestFit="1" customWidth="1"/>
    <col min="699" max="699" width="17.81640625" bestFit="1" customWidth="1"/>
    <col min="700" max="700" width="29.08984375" bestFit="1" customWidth="1"/>
    <col min="701" max="701" width="25.36328125" bestFit="1" customWidth="1"/>
    <col min="702" max="702" width="21.6328125" bestFit="1" customWidth="1"/>
    <col min="703" max="703" width="17.81640625" bestFit="1" customWidth="1"/>
    <col min="704" max="704" width="29.08984375" bestFit="1" customWidth="1"/>
    <col min="705" max="705" width="25.36328125" bestFit="1" customWidth="1"/>
    <col min="706" max="706" width="21.6328125" bestFit="1" customWidth="1"/>
    <col min="707" max="707" width="17.81640625" bestFit="1" customWidth="1"/>
    <col min="708" max="708" width="29.08984375" bestFit="1" customWidth="1"/>
    <col min="709" max="709" width="25.36328125" bestFit="1" customWidth="1"/>
    <col min="710" max="710" width="21.6328125" bestFit="1" customWidth="1"/>
    <col min="711" max="711" width="17.81640625" bestFit="1" customWidth="1"/>
    <col min="712" max="712" width="29.08984375" bestFit="1" customWidth="1"/>
    <col min="713" max="713" width="25.36328125" bestFit="1" customWidth="1"/>
    <col min="714" max="714" width="21.6328125" bestFit="1" customWidth="1"/>
    <col min="715" max="715" width="17.81640625" bestFit="1" customWidth="1"/>
    <col min="716" max="716" width="29.08984375" bestFit="1" customWidth="1"/>
    <col min="717" max="717" width="25.36328125" bestFit="1" customWidth="1"/>
    <col min="718" max="718" width="21.6328125" bestFit="1" customWidth="1"/>
    <col min="719" max="719" width="17.81640625" bestFit="1" customWidth="1"/>
    <col min="720" max="720" width="29.08984375" bestFit="1" customWidth="1"/>
    <col min="721" max="721" width="25.36328125" bestFit="1" customWidth="1"/>
    <col min="722" max="722" width="21.6328125" bestFit="1" customWidth="1"/>
    <col min="723" max="723" width="17.81640625" bestFit="1" customWidth="1"/>
    <col min="724" max="724" width="29.08984375" bestFit="1" customWidth="1"/>
    <col min="725" max="725" width="25.36328125" bestFit="1" customWidth="1"/>
    <col min="726" max="726" width="21.6328125" bestFit="1" customWidth="1"/>
    <col min="727" max="727" width="17.81640625" bestFit="1" customWidth="1"/>
    <col min="728" max="728" width="29.08984375" bestFit="1" customWidth="1"/>
    <col min="729" max="729" width="25.36328125" bestFit="1" customWidth="1"/>
    <col min="730" max="730" width="21.6328125" bestFit="1" customWidth="1"/>
    <col min="731" max="731" width="17.81640625" bestFit="1" customWidth="1"/>
    <col min="732" max="732" width="29.08984375" bestFit="1" customWidth="1"/>
    <col min="733" max="733" width="25.36328125" bestFit="1" customWidth="1"/>
    <col min="734" max="734" width="21.6328125" bestFit="1" customWidth="1"/>
    <col min="735" max="735" width="17.81640625" bestFit="1" customWidth="1"/>
    <col min="736" max="736" width="29.08984375" bestFit="1" customWidth="1"/>
    <col min="737" max="737" width="25.36328125" bestFit="1" customWidth="1"/>
    <col min="738" max="738" width="21.6328125" bestFit="1" customWidth="1"/>
    <col min="739" max="739" width="17.81640625" bestFit="1" customWidth="1"/>
    <col min="740" max="740" width="29.08984375" bestFit="1" customWidth="1"/>
    <col min="741" max="741" width="25.36328125" bestFit="1" customWidth="1"/>
    <col min="742" max="742" width="21.6328125" bestFit="1" customWidth="1"/>
    <col min="743" max="743" width="17.81640625" bestFit="1" customWidth="1"/>
    <col min="744" max="744" width="29.08984375" bestFit="1" customWidth="1"/>
    <col min="745" max="745" width="25.36328125" bestFit="1" customWidth="1"/>
    <col min="746" max="746" width="21.6328125" bestFit="1" customWidth="1"/>
    <col min="747" max="747" width="17.81640625" bestFit="1" customWidth="1"/>
    <col min="748" max="748" width="29.08984375" bestFit="1" customWidth="1"/>
    <col min="749" max="749" width="25.36328125" bestFit="1" customWidth="1"/>
    <col min="750" max="750" width="21.6328125" bestFit="1" customWidth="1"/>
    <col min="751" max="751" width="17.81640625" bestFit="1" customWidth="1"/>
    <col min="752" max="752" width="29.08984375" bestFit="1" customWidth="1"/>
    <col min="753" max="753" width="25.36328125" bestFit="1" customWidth="1"/>
    <col min="754" max="754" width="26.1796875" bestFit="1" customWidth="1"/>
    <col min="755" max="755" width="22.36328125" bestFit="1" customWidth="1"/>
  </cols>
  <sheetData>
    <row r="3" spans="1:11" x14ac:dyDescent="0.35">
      <c r="A3" s="35" t="s">
        <v>35</v>
      </c>
      <c r="B3" s="35"/>
      <c r="C3" s="35"/>
      <c r="D3" s="35"/>
      <c r="E3" s="35"/>
      <c r="H3" s="35" t="s">
        <v>34</v>
      </c>
      <c r="I3" s="35"/>
      <c r="J3" s="35"/>
      <c r="K3" s="35"/>
    </row>
    <row r="4" spans="1:11" x14ac:dyDescent="0.35">
      <c r="A4" s="6" t="s">
        <v>51</v>
      </c>
      <c r="B4" t="s">
        <v>20</v>
      </c>
      <c r="C4" t="s">
        <v>21</v>
      </c>
      <c r="D4" t="s">
        <v>22</v>
      </c>
      <c r="E4" t="s">
        <v>23</v>
      </c>
      <c r="H4" s="6" t="s">
        <v>17</v>
      </c>
      <c r="I4" t="s">
        <v>32</v>
      </c>
      <c r="J4" t="s">
        <v>19</v>
      </c>
      <c r="K4" t="s">
        <v>33</v>
      </c>
    </row>
    <row r="5" spans="1:11" x14ac:dyDescent="0.35">
      <c r="A5" s="7" t="s">
        <v>24</v>
      </c>
      <c r="B5">
        <v>38534</v>
      </c>
      <c r="C5">
        <v>875</v>
      </c>
      <c r="D5">
        <v>813</v>
      </c>
      <c r="E5">
        <v>36300</v>
      </c>
      <c r="H5" s="7" t="s">
        <v>24</v>
      </c>
      <c r="I5">
        <v>9375</v>
      </c>
      <c r="J5">
        <v>199</v>
      </c>
      <c r="K5">
        <v>194</v>
      </c>
    </row>
    <row r="6" spans="1:11" x14ac:dyDescent="0.35">
      <c r="A6" s="7" t="s">
        <v>25</v>
      </c>
      <c r="B6">
        <v>1663437</v>
      </c>
      <c r="C6">
        <v>46875</v>
      </c>
      <c r="D6">
        <v>363669</v>
      </c>
      <c r="E6">
        <v>1252893</v>
      </c>
      <c r="H6" s="7" t="s">
        <v>25</v>
      </c>
      <c r="I6">
        <v>75379</v>
      </c>
      <c r="J6">
        <v>2723</v>
      </c>
      <c r="K6">
        <v>38095</v>
      </c>
    </row>
    <row r="7" spans="1:11" x14ac:dyDescent="0.35">
      <c r="A7" s="7" t="s">
        <v>26</v>
      </c>
      <c r="B7">
        <v>9002815</v>
      </c>
      <c r="C7">
        <v>397601</v>
      </c>
      <c r="D7">
        <v>2644372</v>
      </c>
      <c r="E7">
        <v>5960842</v>
      </c>
      <c r="H7" s="7" t="s">
        <v>26</v>
      </c>
      <c r="I7">
        <v>786064</v>
      </c>
      <c r="J7">
        <v>41542</v>
      </c>
      <c r="K7">
        <v>135760</v>
      </c>
    </row>
    <row r="8" spans="1:11" x14ac:dyDescent="0.35">
      <c r="A8" s="7" t="s">
        <v>27</v>
      </c>
      <c r="B8">
        <v>63391662</v>
      </c>
      <c r="C8">
        <v>4311214</v>
      </c>
      <c r="D8">
        <v>15944020</v>
      </c>
      <c r="E8">
        <v>43136428</v>
      </c>
      <c r="H8" s="7" t="s">
        <v>27</v>
      </c>
      <c r="I8">
        <v>2412383</v>
      </c>
      <c r="J8">
        <v>190226</v>
      </c>
      <c r="K8">
        <v>815542</v>
      </c>
    </row>
    <row r="9" spans="1:11" x14ac:dyDescent="0.35">
      <c r="A9" s="7" t="s">
        <v>28</v>
      </c>
      <c r="B9">
        <v>144990399</v>
      </c>
      <c r="C9">
        <v>9609604</v>
      </c>
      <c r="D9">
        <v>52876838</v>
      </c>
      <c r="E9">
        <v>82503957</v>
      </c>
      <c r="H9" s="7" t="s">
        <v>28</v>
      </c>
      <c r="I9">
        <v>2921042</v>
      </c>
      <c r="J9">
        <v>138902</v>
      </c>
      <c r="K9">
        <v>1595973</v>
      </c>
    </row>
    <row r="10" spans="1:11" x14ac:dyDescent="0.35">
      <c r="A10" s="7" t="s">
        <v>29</v>
      </c>
      <c r="B10">
        <v>246525787</v>
      </c>
      <c r="C10">
        <v>13309053</v>
      </c>
      <c r="D10">
        <v>116984268</v>
      </c>
      <c r="E10">
        <v>116232466</v>
      </c>
      <c r="H10" s="7" t="s">
        <v>29</v>
      </c>
      <c r="I10">
        <v>4265801</v>
      </c>
      <c r="J10">
        <v>137604</v>
      </c>
      <c r="K10">
        <v>2695870</v>
      </c>
    </row>
    <row r="11" spans="1:11" x14ac:dyDescent="0.35">
      <c r="A11" s="7" t="s">
        <v>30</v>
      </c>
      <c r="B11">
        <v>362895848</v>
      </c>
      <c r="C11">
        <v>15709667</v>
      </c>
      <c r="D11">
        <v>199594224</v>
      </c>
      <c r="E11">
        <v>147591957</v>
      </c>
      <c r="H11" s="7" t="s">
        <v>30</v>
      </c>
      <c r="I11">
        <v>6030911</v>
      </c>
      <c r="J11">
        <v>142826</v>
      </c>
      <c r="K11">
        <v>4186628</v>
      </c>
    </row>
    <row r="12" spans="1:11" x14ac:dyDescent="0.35">
      <c r="A12" s="7" t="s">
        <v>18</v>
      </c>
      <c r="B12">
        <v>828508482</v>
      </c>
      <c r="C12">
        <v>43384889</v>
      </c>
      <c r="D12">
        <v>388408204</v>
      </c>
      <c r="E12">
        <v>396714843</v>
      </c>
      <c r="H12" s="7" t="s">
        <v>18</v>
      </c>
      <c r="I12">
        <v>16500955</v>
      </c>
      <c r="J12">
        <v>654022</v>
      </c>
      <c r="K12">
        <v>9468062</v>
      </c>
    </row>
  </sheetData>
  <mergeCells count="2">
    <mergeCell ref="A3:E3"/>
    <mergeCell ref="H3:K3"/>
  </mergeCells>
  <pageMargins left="0.7" right="0.7" top="0.75" bottom="0.75" header="0.3" footer="0.3"/>
  <drawing r:id="rId3"/>
  <legacyDrawing r:id="rId4"/>
  <extLst>
    <ext xmlns:x14="http://schemas.microsoft.com/office/spreadsheetml/2009/9/main" uri="{05C60535-1F16-4fd2-B633-F4F36F0B64E0}">
      <x14:sparklineGroups xmlns:xm="http://schemas.microsoft.com/office/excel/2006/main">
        <x14:sparklineGroup manualMax="0" manualMin="0" type="column" displayEmptyCellsAs="gap" xr2:uid="{49BBADA2-0F5A-4648-B63C-F5D967C53F4B}">
          <x14:colorSeries theme="4" tint="0.79998168889431442"/>
          <x14:colorNegative rgb="FFD00000"/>
          <x14:colorAxis rgb="FF000000"/>
          <x14:colorMarkers rgb="FFD00000"/>
          <x14:colorFirst rgb="FFD00000"/>
          <x14:colorLast rgb="FFD00000"/>
          <x14:colorHigh rgb="FFD00000"/>
          <x14:colorLow rgb="FFD00000"/>
          <x14:sparklines>
            <x14:sparkline>
              <xm:f>'Pivot Table 1 &amp; 2'!C5:C11</xm:f>
              <xm:sqref>F9</xm:sqref>
            </x14:sparkline>
          </x14:sparklines>
        </x14:sparklineGroup>
        <x14:sparklineGroup manualMax="0" manualMin="0" type="column" displayEmptyCellsAs="gap" xr2:uid="{3A22FD5A-E763-4A8D-901C-3E3F40F0B971}">
          <x14:colorSeries theme="3" tint="0.89999084444715716"/>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 Table 1 &amp; 2'!B5:B11</xm:f>
              <xm:sqref>F10</xm:sqref>
            </x14:sparkline>
          </x14:sparklines>
        </x14:sparklineGroup>
        <x14:sparklineGroup manualMax="0" manualMin="0" type="column" displayEmptyCellsAs="gap" xr2:uid="{9947B6D0-911C-441E-A161-53EEBE1404C1}">
          <x14:colorSeries theme="4" tint="0.79998168889431442"/>
          <x14:colorNegative rgb="FFD00000"/>
          <x14:colorAxis rgb="FF000000"/>
          <x14:colorMarkers rgb="FFD00000"/>
          <x14:colorFirst rgb="FFD00000"/>
          <x14:colorLast rgb="FFD00000"/>
          <x14:colorHigh rgb="FFD00000"/>
          <x14:colorLow rgb="FFD00000"/>
          <x14:sparklines>
            <x14:sparkline>
              <xm:f>'Pivot Table 1 &amp; 2'!D5:D11</xm:f>
              <xm:sqref>F8</xm:sqref>
            </x14:sparkline>
          </x14:sparklines>
        </x14:sparklineGroup>
        <x14:sparklineGroup manualMax="0" manualMin="0" type="column" displayEmptyCellsAs="gap" xr2:uid="{7AE17A4F-0B46-4E48-AB49-44C9263DC560}">
          <x14:colorSeries rgb="FF376092"/>
          <x14:colorNegative rgb="FFD00000"/>
          <x14:colorAxis rgb="FF000000"/>
          <x14:colorMarkers rgb="FFD00000"/>
          <x14:colorFirst rgb="FFD00000"/>
          <x14:colorLast rgb="FFD00000"/>
          <x14:colorHigh rgb="FFD00000"/>
          <x14:colorLow rgb="FFD00000"/>
          <x14:sparklines>
            <x14:sparkline>
              <xm:f>'Pivot Table 1 &amp; 2'!E5:E11</xm:f>
              <xm:sqref>G15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4BDF-0FED-4CD0-A7E0-0FF799E9DDE4}">
  <dimension ref="A2:K38"/>
  <sheetViews>
    <sheetView topLeftCell="A7" zoomScale="58" zoomScaleNormal="72" workbookViewId="0">
      <selection activeCell="G27" sqref="G27"/>
    </sheetView>
  </sheetViews>
  <sheetFormatPr defaultRowHeight="14.5" x14ac:dyDescent="0.35"/>
  <cols>
    <col min="1" max="1" width="14.54296875" bestFit="1" customWidth="1"/>
    <col min="2" max="2" width="20.26953125" bestFit="1" customWidth="1"/>
    <col min="7" max="7" width="13.1796875" bestFit="1" customWidth="1"/>
    <col min="8" max="8" width="26.08984375" bestFit="1" customWidth="1"/>
    <col min="9" max="9" width="14.54296875" bestFit="1" customWidth="1"/>
    <col min="10" max="10" width="27.6328125" bestFit="1" customWidth="1"/>
    <col min="11" max="11" width="12.6328125" bestFit="1" customWidth="1"/>
    <col min="12" max="197" width="10.1796875" bestFit="1" customWidth="1"/>
    <col min="198" max="198" width="10.36328125" bestFit="1" customWidth="1"/>
  </cols>
  <sheetData>
    <row r="2" spans="1:10" x14ac:dyDescent="0.35">
      <c r="A2" s="15" t="s">
        <v>37</v>
      </c>
      <c r="B2" s="15"/>
      <c r="G2" s="35" t="s">
        <v>42</v>
      </c>
      <c r="H2" s="35"/>
      <c r="I2" s="35"/>
      <c r="J2" s="35"/>
    </row>
    <row r="3" spans="1:10" x14ac:dyDescent="0.35">
      <c r="A3" s="6" t="s">
        <v>17</v>
      </c>
      <c r="B3" t="s">
        <v>36</v>
      </c>
      <c r="G3" s="6" t="s">
        <v>17</v>
      </c>
      <c r="H3" t="s">
        <v>38</v>
      </c>
      <c r="I3" t="s">
        <v>48</v>
      </c>
      <c r="J3" t="s">
        <v>49</v>
      </c>
    </row>
    <row r="4" spans="1:10" x14ac:dyDescent="0.35">
      <c r="A4" s="7" t="s">
        <v>24</v>
      </c>
      <c r="B4">
        <v>24</v>
      </c>
      <c r="G4" s="7" t="s">
        <v>24</v>
      </c>
      <c r="H4" s="8">
        <v>2.6</v>
      </c>
      <c r="I4" s="8">
        <v>29</v>
      </c>
      <c r="J4" s="8">
        <v>989</v>
      </c>
    </row>
    <row r="5" spans="1:10" x14ac:dyDescent="0.35">
      <c r="A5" s="7" t="s">
        <v>18</v>
      </c>
      <c r="B5">
        <v>24</v>
      </c>
      <c r="G5" s="7" t="s">
        <v>25</v>
      </c>
      <c r="H5" s="8">
        <v>2.4482758620689653</v>
      </c>
      <c r="I5" s="8">
        <v>502</v>
      </c>
      <c r="J5" s="8">
        <v>804</v>
      </c>
    </row>
    <row r="6" spans="1:10" x14ac:dyDescent="0.35">
      <c r="G6" s="7" t="s">
        <v>26</v>
      </c>
      <c r="H6" s="8">
        <v>3.967741935483871</v>
      </c>
      <c r="I6" s="8">
        <v>1197</v>
      </c>
      <c r="J6" s="8">
        <v>386</v>
      </c>
    </row>
    <row r="7" spans="1:10" x14ac:dyDescent="0.35">
      <c r="G7" s="7" t="s">
        <v>27</v>
      </c>
      <c r="H7" s="8">
        <v>6.6</v>
      </c>
      <c r="I7" s="8">
        <v>722</v>
      </c>
      <c r="J7" s="8">
        <v>827</v>
      </c>
    </row>
    <row r="8" spans="1:10" x14ac:dyDescent="0.35">
      <c r="G8" s="7" t="s">
        <v>28</v>
      </c>
      <c r="H8" s="8">
        <v>6.709677419354839</v>
      </c>
      <c r="I8" s="8">
        <v>1112</v>
      </c>
      <c r="J8" s="8">
        <v>587</v>
      </c>
    </row>
    <row r="9" spans="1:10" x14ac:dyDescent="0.35">
      <c r="G9" s="7" t="s">
        <v>29</v>
      </c>
      <c r="H9" s="8">
        <v>5.4333333333333336</v>
      </c>
      <c r="I9" s="8">
        <v>1412</v>
      </c>
      <c r="J9" s="8">
        <v>349</v>
      </c>
    </row>
    <row r="10" spans="1:10" x14ac:dyDescent="0.35">
      <c r="G10" s="7" t="s">
        <v>30</v>
      </c>
      <c r="H10" s="8">
        <v>4.333333333333333</v>
      </c>
      <c r="I10" s="8">
        <v>1478</v>
      </c>
      <c r="J10" s="8">
        <v>216</v>
      </c>
    </row>
    <row r="11" spans="1:10" x14ac:dyDescent="0.35">
      <c r="G11" s="7" t="s">
        <v>18</v>
      </c>
      <c r="H11" s="8">
        <v>4.8191489361702127</v>
      </c>
      <c r="I11" s="8">
        <v>6452</v>
      </c>
      <c r="J11" s="8">
        <v>4158</v>
      </c>
    </row>
    <row r="26" spans="1:11" x14ac:dyDescent="0.35">
      <c r="A26" s="36" t="s">
        <v>37</v>
      </c>
      <c r="B26" s="36"/>
    </row>
    <row r="28" spans="1:11" x14ac:dyDescent="0.35">
      <c r="G28" s="14"/>
      <c r="H28" s="14"/>
      <c r="I28" s="14"/>
      <c r="J28" s="14"/>
    </row>
    <row r="30" spans="1:11" x14ac:dyDescent="0.35">
      <c r="I30" s="6" t="s">
        <v>17</v>
      </c>
      <c r="J30" t="s">
        <v>76</v>
      </c>
      <c r="K30" t="s">
        <v>75</v>
      </c>
    </row>
    <row r="31" spans="1:11" x14ac:dyDescent="0.35">
      <c r="I31" s="7" t="s">
        <v>24</v>
      </c>
      <c r="J31" s="29">
        <v>2.1747028598121141E-2</v>
      </c>
      <c r="K31" s="29">
        <v>2.3070535111849276E-2</v>
      </c>
    </row>
    <row r="32" spans="1:11" x14ac:dyDescent="0.35">
      <c r="I32" s="7" t="s">
        <v>25</v>
      </c>
      <c r="J32" s="29">
        <v>0.21862505162503901</v>
      </c>
      <c r="K32" s="29">
        <v>2.8179606441362071E-2</v>
      </c>
    </row>
    <row r="33" spans="9:11" x14ac:dyDescent="0.35">
      <c r="I33" s="7" t="s">
        <v>26</v>
      </c>
      <c r="J33" s="29">
        <v>0.29372723975778686</v>
      </c>
      <c r="K33" s="29">
        <v>4.4164075347544074E-2</v>
      </c>
    </row>
    <row r="34" spans="9:11" x14ac:dyDescent="0.35">
      <c r="I34" s="7" t="s">
        <v>27</v>
      </c>
      <c r="J34" s="29">
        <v>0.25151604322978627</v>
      </c>
      <c r="K34" s="29">
        <v>6.8009164990815357E-2</v>
      </c>
    </row>
    <row r="35" spans="9:11" x14ac:dyDescent="0.35">
      <c r="I35" s="7" t="s">
        <v>28</v>
      </c>
      <c r="J35" s="29">
        <v>0.36469199591622614</v>
      </c>
      <c r="K35" s="29">
        <v>6.6277519520447692E-2</v>
      </c>
    </row>
    <row r="36" spans="9:11" x14ac:dyDescent="0.35">
      <c r="I36" s="7" t="s">
        <v>29</v>
      </c>
      <c r="J36" s="29">
        <v>0.47453156695530596</v>
      </c>
      <c r="K36" s="29">
        <v>5.3986453757878076E-2</v>
      </c>
    </row>
    <row r="37" spans="9:11" x14ac:dyDescent="0.35">
      <c r="I37" s="7" t="s">
        <v>30</v>
      </c>
      <c r="J37" s="29">
        <v>0.55000415436001349</v>
      </c>
      <c r="K37" s="29">
        <v>4.3289740256273197E-2</v>
      </c>
    </row>
    <row r="38" spans="9:11" x14ac:dyDescent="0.35">
      <c r="I38" s="7" t="s">
        <v>18</v>
      </c>
      <c r="J38" s="29">
        <v>0.46880416729396862</v>
      </c>
      <c r="K38" s="29">
        <v>5.2365068001802302E-2</v>
      </c>
    </row>
  </sheetData>
  <mergeCells count="2">
    <mergeCell ref="G2:J2"/>
    <mergeCell ref="A26:B26"/>
  </mergeCells>
  <pageMargins left="0.7" right="0.7" top="0.75" bottom="0.75" header="0.3" footer="0.3"/>
  <pageSetup orientation="portrait" r:id="rId4"/>
  <drawing r:id="rId5"/>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610C-2D92-4D06-BF56-14323A337925}">
  <dimension ref="A1:H10"/>
  <sheetViews>
    <sheetView workbookViewId="0">
      <selection activeCell="I7" sqref="I7"/>
    </sheetView>
  </sheetViews>
  <sheetFormatPr defaultRowHeight="14.5" x14ac:dyDescent="0.35"/>
  <cols>
    <col min="1" max="1" width="10.36328125" bestFit="1" customWidth="1"/>
    <col min="2" max="2" width="19.81640625" bestFit="1" customWidth="1"/>
    <col min="3" max="5" width="10.08984375" bestFit="1" customWidth="1"/>
    <col min="6" max="6" width="10.36328125" bestFit="1" customWidth="1"/>
    <col min="7" max="7" width="12.6328125" bestFit="1" customWidth="1"/>
    <col min="8" max="8" width="12.36328125" bestFit="1" customWidth="1"/>
    <col min="9" max="12" width="15.6328125" bestFit="1" customWidth="1"/>
    <col min="13" max="13" width="10.36328125" bestFit="1" customWidth="1"/>
    <col min="14" max="193" width="15.6328125" bestFit="1" customWidth="1"/>
    <col min="194" max="194" width="10.36328125" bestFit="1" customWidth="1"/>
  </cols>
  <sheetData>
    <row r="1" spans="1:8" x14ac:dyDescent="0.35">
      <c r="A1" s="6" t="s">
        <v>31</v>
      </c>
      <c r="B1" t="s">
        <v>36</v>
      </c>
      <c r="F1" s="6" t="s">
        <v>31</v>
      </c>
      <c r="G1" t="s">
        <v>76</v>
      </c>
      <c r="H1" t="s">
        <v>75</v>
      </c>
    </row>
    <row r="2" spans="1:8" x14ac:dyDescent="0.35">
      <c r="A2" s="7" t="s">
        <v>24</v>
      </c>
      <c r="B2">
        <v>24</v>
      </c>
      <c r="F2" s="7" t="s">
        <v>24</v>
      </c>
      <c r="G2" s="29">
        <v>2.1747028598121141E-2</v>
      </c>
      <c r="H2" s="29">
        <v>2.3070535111849276E-2</v>
      </c>
    </row>
    <row r="3" spans="1:8" x14ac:dyDescent="0.35">
      <c r="A3" s="7" t="s">
        <v>25</v>
      </c>
      <c r="B3">
        <v>61</v>
      </c>
      <c r="F3" s="7" t="s">
        <v>25</v>
      </c>
      <c r="G3" s="29">
        <v>0.21862505162503901</v>
      </c>
      <c r="H3" s="29">
        <v>2.8179606441362071E-2</v>
      </c>
    </row>
    <row r="4" spans="1:8" x14ac:dyDescent="0.35">
      <c r="A4" s="7" t="s">
        <v>26</v>
      </c>
      <c r="B4">
        <v>179</v>
      </c>
      <c r="F4" s="7" t="s">
        <v>26</v>
      </c>
      <c r="G4" s="29">
        <v>0.29372723975778686</v>
      </c>
      <c r="H4" s="29">
        <v>4.4164075347544074E-2</v>
      </c>
    </row>
    <row r="5" spans="1:8" x14ac:dyDescent="0.35">
      <c r="A5" s="7" t="s">
        <v>27</v>
      </c>
      <c r="B5">
        <v>186</v>
      </c>
      <c r="F5" s="7" t="s">
        <v>27</v>
      </c>
      <c r="G5" s="29">
        <v>0.25151604322978627</v>
      </c>
      <c r="H5" s="29">
        <v>6.8009164990815357E-2</v>
      </c>
    </row>
    <row r="6" spans="1:8" x14ac:dyDescent="0.35">
      <c r="A6" s="7" t="s">
        <v>28</v>
      </c>
      <c r="B6">
        <v>187</v>
      </c>
      <c r="F6" s="7" t="s">
        <v>28</v>
      </c>
      <c r="G6" s="29">
        <v>0.36469199591622614</v>
      </c>
      <c r="H6" s="29">
        <v>6.6277519520447692E-2</v>
      </c>
    </row>
    <row r="7" spans="1:8" x14ac:dyDescent="0.35">
      <c r="A7" s="7" t="s">
        <v>29</v>
      </c>
      <c r="B7">
        <v>187</v>
      </c>
      <c r="F7" s="7" t="s">
        <v>29</v>
      </c>
      <c r="G7" s="29">
        <v>0.47453156695530596</v>
      </c>
      <c r="H7" s="29">
        <v>5.3986453757878076E-2</v>
      </c>
    </row>
    <row r="8" spans="1:8" x14ac:dyDescent="0.35">
      <c r="A8" s="7" t="s">
        <v>30</v>
      </c>
      <c r="B8">
        <v>187</v>
      </c>
      <c r="F8" s="7" t="s">
        <v>30</v>
      </c>
      <c r="G8" s="29">
        <v>0.55000415436001349</v>
      </c>
      <c r="H8" s="29">
        <v>4.3289740256273197E-2</v>
      </c>
    </row>
    <row r="9" spans="1:8" x14ac:dyDescent="0.35">
      <c r="A9" s="7" t="s">
        <v>18</v>
      </c>
      <c r="B9">
        <v>187</v>
      </c>
      <c r="F9" s="7" t="s">
        <v>18</v>
      </c>
      <c r="G9" s="29">
        <v>0.46880416729396862</v>
      </c>
      <c r="H9" s="29">
        <v>5.2365068001802302E-2</v>
      </c>
    </row>
    <row r="10" spans="1:8" x14ac:dyDescent="0.35">
      <c r="A10" s="33" t="s">
        <v>79</v>
      </c>
      <c r="B10" s="33"/>
    </row>
  </sheetData>
  <mergeCells count="1">
    <mergeCell ref="A10:B10"/>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AAEE-B144-45E8-93FE-BC83AF1626F4}">
  <dimension ref="A1:I29"/>
  <sheetViews>
    <sheetView zoomScale="59" zoomScaleNormal="60" workbookViewId="0">
      <selection activeCell="C41" sqref="C41"/>
    </sheetView>
  </sheetViews>
  <sheetFormatPr defaultRowHeight="14.5" x14ac:dyDescent="0.35"/>
  <cols>
    <col min="1" max="1" width="14.26953125" bestFit="1" customWidth="1"/>
    <col min="2" max="2" width="17.36328125" bestFit="1" customWidth="1"/>
    <col min="8" max="8" width="13.36328125" bestFit="1" customWidth="1"/>
    <col min="9" max="9" width="22.90625" bestFit="1" customWidth="1"/>
    <col min="14" max="14" width="14" bestFit="1" customWidth="1"/>
    <col min="15" max="15" width="17.36328125" bestFit="1" customWidth="1"/>
    <col min="18" max="18" width="14" bestFit="1" customWidth="1"/>
    <col min="19" max="19" width="22.54296875" bestFit="1" customWidth="1"/>
  </cols>
  <sheetData>
    <row r="1" spans="1:9" x14ac:dyDescent="0.35">
      <c r="A1" s="37" t="s">
        <v>41</v>
      </c>
      <c r="B1" s="37"/>
    </row>
    <row r="2" spans="1:9" x14ac:dyDescent="0.35">
      <c r="A2" s="37"/>
      <c r="B2" s="37"/>
    </row>
    <row r="3" spans="1:9" x14ac:dyDescent="0.35">
      <c r="A3" s="6" t="s">
        <v>17</v>
      </c>
      <c r="B3" t="s">
        <v>39</v>
      </c>
      <c r="H3" s="6" t="s">
        <v>31</v>
      </c>
      <c r="I3" t="s">
        <v>40</v>
      </c>
    </row>
    <row r="4" spans="1:9" x14ac:dyDescent="0.35">
      <c r="A4" s="7" t="s">
        <v>24</v>
      </c>
      <c r="B4">
        <v>9495</v>
      </c>
      <c r="H4" s="7" t="s">
        <v>24</v>
      </c>
      <c r="I4">
        <v>23.918231453611959</v>
      </c>
    </row>
    <row r="5" spans="1:9" x14ac:dyDescent="0.35">
      <c r="A5" s="7" t="s">
        <v>18</v>
      </c>
      <c r="B5">
        <v>9495</v>
      </c>
      <c r="H5" s="7" t="s">
        <v>25</v>
      </c>
      <c r="I5">
        <v>6.8459917324992627</v>
      </c>
    </row>
    <row r="6" spans="1:9" x14ac:dyDescent="0.35">
      <c r="H6" s="7" t="s">
        <v>26</v>
      </c>
      <c r="I6">
        <v>7.1686670561938772</v>
      </c>
    </row>
    <row r="7" spans="1:9" x14ac:dyDescent="0.35">
      <c r="H7" s="7" t="s">
        <v>27</v>
      </c>
      <c r="I7">
        <v>4.3142687661829902</v>
      </c>
    </row>
    <row r="8" spans="1:9" x14ac:dyDescent="0.35">
      <c r="H8" s="7" t="s">
        <v>28</v>
      </c>
      <c r="I8">
        <v>2.039442716486433</v>
      </c>
    </row>
    <row r="9" spans="1:9" x14ac:dyDescent="0.35">
      <c r="H9" s="7" t="s">
        <v>29</v>
      </c>
      <c r="I9">
        <v>1.7332379643953331</v>
      </c>
    </row>
    <row r="10" spans="1:9" x14ac:dyDescent="0.35">
      <c r="H10" s="7" t="s">
        <v>30</v>
      </c>
      <c r="I10">
        <v>1.6731232316176303</v>
      </c>
    </row>
    <row r="11" spans="1:9" x14ac:dyDescent="0.35">
      <c r="H11" s="7" t="s">
        <v>18</v>
      </c>
      <c r="I11">
        <v>5.0519521643761349</v>
      </c>
    </row>
    <row r="13" spans="1:9" x14ac:dyDescent="0.35">
      <c r="H13" s="38" t="s">
        <v>50</v>
      </c>
      <c r="I13" s="38"/>
    </row>
    <row r="14" spans="1:9" x14ac:dyDescent="0.35">
      <c r="H14" s="38"/>
      <c r="I14" s="38"/>
    </row>
    <row r="15" spans="1:9" x14ac:dyDescent="0.35">
      <c r="H15" s="16" t="s">
        <v>17</v>
      </c>
      <c r="I15" s="10" t="s">
        <v>40</v>
      </c>
    </row>
    <row r="16" spans="1:9" x14ac:dyDescent="0.35">
      <c r="H16" s="17" t="s">
        <v>24</v>
      </c>
      <c r="I16" s="18">
        <v>23.918231453611959</v>
      </c>
    </row>
    <row r="17" spans="1:9" x14ac:dyDescent="0.35">
      <c r="H17" s="17" t="s">
        <v>25</v>
      </c>
      <c r="I17" s="18">
        <v>6.8459917324992627</v>
      </c>
    </row>
    <row r="18" spans="1:9" x14ac:dyDescent="0.35">
      <c r="H18" s="17" t="s">
        <v>26</v>
      </c>
      <c r="I18" s="18">
        <v>7.1686670561938772</v>
      </c>
    </row>
    <row r="19" spans="1:9" x14ac:dyDescent="0.35">
      <c r="H19" s="17" t="s">
        <v>27</v>
      </c>
      <c r="I19" s="18">
        <v>4.3142687661829902</v>
      </c>
    </row>
    <row r="20" spans="1:9" x14ac:dyDescent="0.35">
      <c r="H20" s="17" t="s">
        <v>28</v>
      </c>
      <c r="I20" s="18">
        <v>2.039442716486433</v>
      </c>
    </row>
    <row r="21" spans="1:9" x14ac:dyDescent="0.35">
      <c r="H21" s="17" t="s">
        <v>29</v>
      </c>
      <c r="I21" s="18">
        <v>1.7332379643953331</v>
      </c>
    </row>
    <row r="22" spans="1:9" x14ac:dyDescent="0.35">
      <c r="H22" s="17" t="s">
        <v>30</v>
      </c>
      <c r="I22" s="18">
        <v>1.6731232316176303</v>
      </c>
    </row>
    <row r="23" spans="1:9" x14ac:dyDescent="0.35">
      <c r="H23" s="17" t="s">
        <v>18</v>
      </c>
      <c r="I23" s="18">
        <v>5.0519521643761349</v>
      </c>
    </row>
    <row r="29" spans="1:9" x14ac:dyDescent="0.35">
      <c r="A29" s="9"/>
      <c r="B29" s="9"/>
    </row>
  </sheetData>
  <mergeCells count="2">
    <mergeCell ref="A1:B2"/>
    <mergeCell ref="H13:I14"/>
  </mergeCells>
  <pageMargins left="0.7" right="0.7" top="0.75" bottom="0.75" header="0.3" footer="0.3"/>
  <drawing r:id="rId4"/>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9AA0-250A-4828-96DE-F5C410DFC5E2}">
  <dimension ref="A1:G11"/>
  <sheetViews>
    <sheetView topLeftCell="A4" workbookViewId="0">
      <selection activeCell="F3" sqref="F3:G10"/>
    </sheetView>
  </sheetViews>
  <sheetFormatPr defaultRowHeight="14.5" x14ac:dyDescent="0.35"/>
  <cols>
    <col min="1" max="1" width="10.36328125" bestFit="1" customWidth="1"/>
    <col min="2" max="2" width="17.36328125" bestFit="1" customWidth="1"/>
    <col min="3" max="5" width="15.6328125" bestFit="1" customWidth="1"/>
    <col min="6" max="6" width="10.36328125" bestFit="1" customWidth="1"/>
    <col min="7" max="7" width="22.54296875" bestFit="1" customWidth="1"/>
    <col min="8" max="8" width="10.36328125" bestFit="1" customWidth="1"/>
    <col min="9" max="188" width="15.6328125" bestFit="1" customWidth="1"/>
    <col min="189" max="189" width="10.36328125" bestFit="1" customWidth="1"/>
  </cols>
  <sheetData>
    <row r="1" spans="1:7" x14ac:dyDescent="0.35">
      <c r="A1" s="33" t="s">
        <v>80</v>
      </c>
      <c r="B1" s="33"/>
    </row>
    <row r="2" spans="1:7" x14ac:dyDescent="0.35">
      <c r="A2" s="6" t="s">
        <v>31</v>
      </c>
      <c r="B2" t="s">
        <v>39</v>
      </c>
      <c r="F2" s="33" t="s">
        <v>81</v>
      </c>
      <c r="G2" s="33"/>
    </row>
    <row r="3" spans="1:7" x14ac:dyDescent="0.35">
      <c r="A3" s="7" t="s">
        <v>24</v>
      </c>
      <c r="B3">
        <v>9495</v>
      </c>
      <c r="F3" s="6" t="s">
        <v>31</v>
      </c>
      <c r="G3" t="s">
        <v>40</v>
      </c>
    </row>
    <row r="4" spans="1:7" x14ac:dyDescent="0.35">
      <c r="A4" s="7" t="s">
        <v>25</v>
      </c>
      <c r="B4">
        <v>58996</v>
      </c>
      <c r="F4" s="7" t="s">
        <v>24</v>
      </c>
      <c r="G4" s="8">
        <v>23.918231453611959</v>
      </c>
    </row>
    <row r="5" spans="1:7" x14ac:dyDescent="0.35">
      <c r="A5" s="7" t="s">
        <v>26</v>
      </c>
      <c r="B5">
        <v>652803</v>
      </c>
      <c r="F5" s="7" t="s">
        <v>25</v>
      </c>
      <c r="G5" s="8">
        <v>6.8459917324992627</v>
      </c>
    </row>
    <row r="6" spans="1:7" x14ac:dyDescent="0.35">
      <c r="A6" s="7" t="s">
        <v>27</v>
      </c>
      <c r="B6">
        <v>2044556</v>
      </c>
      <c r="F6" s="7" t="s">
        <v>26</v>
      </c>
      <c r="G6" s="8">
        <v>7.1686670561938772</v>
      </c>
    </row>
    <row r="7" spans="1:7" x14ac:dyDescent="0.35">
      <c r="A7" s="7" t="s">
        <v>28</v>
      </c>
      <c r="B7">
        <v>3226335</v>
      </c>
      <c r="F7" s="7" t="s">
        <v>27</v>
      </c>
      <c r="G7" s="8">
        <v>4.3142687661829902</v>
      </c>
    </row>
    <row r="8" spans="1:7" x14ac:dyDescent="0.35">
      <c r="A8" s="7" t="s">
        <v>29</v>
      </c>
      <c r="B8">
        <v>4657028</v>
      </c>
      <c r="F8" s="7" t="s">
        <v>28</v>
      </c>
      <c r="G8" s="8">
        <v>2.039442716486433</v>
      </c>
    </row>
    <row r="9" spans="1:7" x14ac:dyDescent="0.35">
      <c r="A9" s="7" t="s">
        <v>30</v>
      </c>
      <c r="B9">
        <v>6358362</v>
      </c>
      <c r="F9" s="7" t="s">
        <v>29</v>
      </c>
      <c r="G9" s="8">
        <v>1.7332379643953331</v>
      </c>
    </row>
    <row r="10" spans="1:7" x14ac:dyDescent="0.35">
      <c r="A10" s="7" t="s">
        <v>18</v>
      </c>
      <c r="B10">
        <v>6358362</v>
      </c>
      <c r="F10" s="7" t="s">
        <v>30</v>
      </c>
      <c r="G10" s="8">
        <v>1.6731232316176303</v>
      </c>
    </row>
    <row r="11" spans="1:7" x14ac:dyDescent="0.35">
      <c r="F11" s="7" t="s">
        <v>18</v>
      </c>
      <c r="G11" s="8">
        <v>5.0519521643761349</v>
      </c>
    </row>
  </sheetData>
  <mergeCells count="2">
    <mergeCell ref="A1:B1"/>
    <mergeCell ref="F2:G2"/>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E80D-0828-41C8-A5DD-663534E54F9D}">
  <dimension ref="A1:S52"/>
  <sheetViews>
    <sheetView topLeftCell="A4" zoomScale="70" workbookViewId="0">
      <selection activeCell="H23" sqref="H23"/>
    </sheetView>
  </sheetViews>
  <sheetFormatPr defaultRowHeight="14.5" x14ac:dyDescent="0.35"/>
  <cols>
    <col min="1" max="1" width="13.36328125" bestFit="1" customWidth="1"/>
    <col min="2" max="2" width="21.6328125" bestFit="1" customWidth="1"/>
    <col min="3" max="3" width="17.81640625" bestFit="1" customWidth="1"/>
    <col min="4" max="4" width="12.453125" bestFit="1" customWidth="1"/>
    <col min="5" max="5" width="17.81640625" bestFit="1" customWidth="1"/>
    <col min="6" max="6" width="16.6328125" bestFit="1" customWidth="1"/>
    <col min="7" max="7" width="16.36328125" bestFit="1" customWidth="1"/>
    <col min="8" max="8" width="20.1796875" bestFit="1" customWidth="1"/>
    <col min="9" max="9" width="13.36328125" bestFit="1" customWidth="1"/>
    <col min="10" max="10" width="22.54296875" bestFit="1" customWidth="1"/>
    <col min="15" max="15" width="13.36328125" bestFit="1" customWidth="1"/>
    <col min="16" max="16" width="21.6328125" bestFit="1" customWidth="1"/>
    <col min="17" max="17" width="17.54296875" bestFit="1" customWidth="1"/>
    <col min="18" max="18" width="26.1796875" bestFit="1" customWidth="1"/>
    <col min="19" max="19" width="17.81640625" bestFit="1" customWidth="1"/>
  </cols>
  <sheetData>
    <row r="1" spans="1:19" x14ac:dyDescent="0.35">
      <c r="A1" s="39" t="s">
        <v>53</v>
      </c>
      <c r="B1" s="39"/>
      <c r="C1" s="39"/>
      <c r="D1" s="39"/>
      <c r="E1" s="39"/>
      <c r="F1" s="39"/>
      <c r="G1" s="39"/>
      <c r="H1" s="39"/>
      <c r="I1" s="39"/>
      <c r="J1" s="39"/>
      <c r="K1" s="39"/>
      <c r="L1" s="20"/>
      <c r="M1" s="20"/>
      <c r="N1" s="20"/>
      <c r="O1" s="20"/>
      <c r="P1" s="20"/>
      <c r="Q1" s="20"/>
      <c r="R1" s="20"/>
    </row>
    <row r="2" spans="1:19" ht="14.5" customHeight="1" x14ac:dyDescent="0.35">
      <c r="A2" s="42" t="s">
        <v>54</v>
      </c>
      <c r="B2" s="42"/>
      <c r="C2" s="42"/>
      <c r="D2" s="42"/>
      <c r="I2" s="41" t="s">
        <v>62</v>
      </c>
      <c r="J2" s="41"/>
      <c r="K2" s="41"/>
      <c r="L2" s="41"/>
      <c r="M2" s="41"/>
    </row>
    <row r="3" spans="1:19" x14ac:dyDescent="0.35">
      <c r="A3" s="42"/>
      <c r="B3" s="42"/>
      <c r="C3" s="42"/>
      <c r="D3" s="42"/>
      <c r="I3" s="41"/>
      <c r="J3" s="41"/>
      <c r="K3" s="41"/>
      <c r="L3" s="41"/>
      <c r="M3" s="41"/>
      <c r="O3" s="6" t="s">
        <v>17</v>
      </c>
      <c r="P3" t="s">
        <v>20</v>
      </c>
      <c r="Q3" t="s">
        <v>21</v>
      </c>
      <c r="R3" t="s">
        <v>22</v>
      </c>
      <c r="S3" t="s">
        <v>23</v>
      </c>
    </row>
    <row r="4" spans="1:19" x14ac:dyDescent="0.35">
      <c r="A4" s="16" t="s">
        <v>31</v>
      </c>
      <c r="B4" s="10" t="s">
        <v>52</v>
      </c>
      <c r="C4" s="9"/>
      <c r="D4" s="9"/>
      <c r="I4" s="6" t="s">
        <v>17</v>
      </c>
      <c r="J4" t="s">
        <v>40</v>
      </c>
      <c r="O4" s="7" t="s">
        <v>24</v>
      </c>
      <c r="P4" s="27"/>
      <c r="Q4" s="27"/>
      <c r="R4" s="27"/>
      <c r="S4" s="27"/>
    </row>
    <row r="5" spans="1:19" x14ac:dyDescent="0.35">
      <c r="A5" s="17" t="s">
        <v>24</v>
      </c>
      <c r="B5" s="19"/>
      <c r="C5" s="9"/>
      <c r="D5" s="9"/>
      <c r="I5" s="7" t="s">
        <v>24</v>
      </c>
      <c r="J5" s="8">
        <v>23.918231453611959</v>
      </c>
      <c r="O5" s="7" t="s">
        <v>25</v>
      </c>
      <c r="P5" s="27">
        <v>42.168033425027247</v>
      </c>
      <c r="Q5" s="27">
        <v>51.727784026996623</v>
      </c>
      <c r="R5" s="27">
        <v>432.97255369928399</v>
      </c>
      <c r="S5" s="27">
        <v>33.039530524085094</v>
      </c>
    </row>
    <row r="6" spans="1:19" x14ac:dyDescent="0.35">
      <c r="A6" s="17" t="s">
        <v>25</v>
      </c>
      <c r="B6" s="21">
        <v>42.168033425027247</v>
      </c>
      <c r="C6" s="9"/>
      <c r="D6" s="9"/>
      <c r="I6" s="7" t="s">
        <v>25</v>
      </c>
      <c r="J6" s="8">
        <v>6.8459917324992627</v>
      </c>
      <c r="O6" s="7" t="s">
        <v>26</v>
      </c>
      <c r="P6" s="27">
        <v>4.4121767160403431</v>
      </c>
      <c r="Q6" s="27">
        <v>7.4821546666666663</v>
      </c>
      <c r="R6" s="27">
        <v>6.2713703945070929</v>
      </c>
      <c r="S6" s="27">
        <v>3.7576624659887159</v>
      </c>
    </row>
    <row r="7" spans="1:19" x14ac:dyDescent="0.35">
      <c r="A7" s="17" t="s">
        <v>26</v>
      </c>
      <c r="B7" s="19">
        <v>4.4121767160403431</v>
      </c>
      <c r="I7" s="7" t="s">
        <v>26</v>
      </c>
      <c r="J7" s="8">
        <v>7.1686670561938772</v>
      </c>
      <c r="O7" s="7" t="s">
        <v>27</v>
      </c>
      <c r="P7" s="27">
        <v>6.0413156329436957</v>
      </c>
      <c r="Q7" s="27">
        <v>9.8430662900747237</v>
      </c>
      <c r="R7" s="27">
        <v>5.0294164361141318</v>
      </c>
      <c r="S7" s="27">
        <v>6.2366333481075324</v>
      </c>
    </row>
    <row r="8" spans="1:19" x14ac:dyDescent="0.35">
      <c r="A8" s="17" t="s">
        <v>27</v>
      </c>
      <c r="B8" s="19">
        <v>6.0413156329436957</v>
      </c>
      <c r="I8" s="7" t="s">
        <v>27</v>
      </c>
      <c r="J8" s="8">
        <v>4.3142687661829902</v>
      </c>
      <c r="O8" s="7" t="s">
        <v>28</v>
      </c>
      <c r="P8" s="27">
        <v>1.2872156120468967</v>
      </c>
      <c r="Q8" s="27">
        <v>1.2289786589113878</v>
      </c>
      <c r="R8" s="27">
        <v>2.3164056492653673</v>
      </c>
      <c r="S8" s="27">
        <v>0.91262839380210159</v>
      </c>
    </row>
    <row r="9" spans="1:19" x14ac:dyDescent="0.35">
      <c r="A9" s="17" t="s">
        <v>28</v>
      </c>
      <c r="B9" s="19">
        <v>1.2872156120468967</v>
      </c>
      <c r="I9" s="7" t="s">
        <v>28</v>
      </c>
      <c r="J9" s="8">
        <v>2.039442716486433</v>
      </c>
      <c r="O9" s="7" t="s">
        <v>29</v>
      </c>
      <c r="P9" s="27">
        <v>0.70029042405766473</v>
      </c>
      <c r="Q9" s="27">
        <v>0.38497413629115207</v>
      </c>
      <c r="R9" s="27">
        <v>1.212391520082952</v>
      </c>
      <c r="S9" s="27">
        <v>0.40881080406846426</v>
      </c>
    </row>
    <row r="10" spans="1:19" x14ac:dyDescent="0.35">
      <c r="A10" s="17" t="s">
        <v>29</v>
      </c>
      <c r="B10" s="19">
        <v>0.70029042405766473</v>
      </c>
      <c r="I10" s="7" t="s">
        <v>29</v>
      </c>
      <c r="J10" s="8">
        <v>1.7332379643953331</v>
      </c>
      <c r="O10" s="7" t="s">
        <v>30</v>
      </c>
      <c r="P10" s="27">
        <v>0.47204011562490217</v>
      </c>
      <c r="Q10" s="27">
        <v>0.18037451650391653</v>
      </c>
      <c r="R10" s="27">
        <v>0.70616295175689781</v>
      </c>
      <c r="S10" s="27">
        <v>0.26979975629184361</v>
      </c>
    </row>
    <row r="11" spans="1:19" x14ac:dyDescent="0.35">
      <c r="A11" s="17" t="s">
        <v>30</v>
      </c>
      <c r="B11" s="19">
        <v>0.47204011562490217</v>
      </c>
      <c r="I11" s="7" t="s">
        <v>30</v>
      </c>
      <c r="J11" s="8">
        <v>1.6731232316176303</v>
      </c>
      <c r="O11" s="7" t="s">
        <v>18</v>
      </c>
      <c r="P11" s="27"/>
      <c r="Q11" s="27"/>
      <c r="R11" s="27"/>
      <c r="S11" s="27"/>
    </row>
    <row r="12" spans="1:19" x14ac:dyDescent="0.35">
      <c r="A12" s="17" t="s">
        <v>18</v>
      </c>
      <c r="B12" s="19"/>
      <c r="I12" s="7" t="s">
        <v>18</v>
      </c>
      <c r="J12" s="8">
        <v>5.0519521643761349</v>
      </c>
    </row>
    <row r="16" spans="1:19" ht="14.5" customHeight="1" x14ac:dyDescent="0.35">
      <c r="A16" s="43" t="s">
        <v>59</v>
      </c>
      <c r="B16" s="43"/>
      <c r="C16" s="43"/>
      <c r="D16" s="43"/>
      <c r="E16" s="43"/>
    </row>
    <row r="17" spans="1:7" x14ac:dyDescent="0.35">
      <c r="A17" s="43"/>
      <c r="B17" s="43"/>
      <c r="C17" s="43"/>
      <c r="D17" s="43"/>
      <c r="E17" s="43"/>
    </row>
    <row r="18" spans="1:7" x14ac:dyDescent="0.35">
      <c r="A18" s="25"/>
      <c r="B18" s="25"/>
      <c r="C18" s="25"/>
    </row>
    <row r="19" spans="1:7" x14ac:dyDescent="0.35">
      <c r="A19" s="6" t="s">
        <v>17</v>
      </c>
      <c r="B19" t="s">
        <v>20</v>
      </c>
      <c r="C19" t="s">
        <v>21</v>
      </c>
      <c r="D19" t="s">
        <v>22</v>
      </c>
      <c r="E19" t="s">
        <v>23</v>
      </c>
      <c r="F19" t="s">
        <v>57</v>
      </c>
      <c r="G19" t="s">
        <v>58</v>
      </c>
    </row>
    <row r="20" spans="1:7" x14ac:dyDescent="0.35">
      <c r="A20" s="7" t="s">
        <v>24</v>
      </c>
      <c r="B20">
        <v>38534</v>
      </c>
      <c r="C20">
        <v>889</v>
      </c>
      <c r="D20">
        <v>838</v>
      </c>
      <c r="E20">
        <v>36807</v>
      </c>
      <c r="F20">
        <v>2.1747028598121141E-2</v>
      </c>
      <c r="G20">
        <v>2.3070535111849276E-2</v>
      </c>
    </row>
    <row r="21" spans="1:7" x14ac:dyDescent="0.35">
      <c r="A21" s="7" t="s">
        <v>25</v>
      </c>
      <c r="B21">
        <v>1663437</v>
      </c>
      <c r="C21">
        <v>46875</v>
      </c>
      <c r="D21">
        <v>363669</v>
      </c>
      <c r="E21">
        <v>1252893</v>
      </c>
      <c r="F21">
        <v>0.21862505162503901</v>
      </c>
      <c r="G21">
        <v>2.8179606441362071E-2</v>
      </c>
    </row>
    <row r="22" spans="1:7" x14ac:dyDescent="0.35">
      <c r="A22" s="7" t="s">
        <v>26</v>
      </c>
      <c r="B22">
        <v>9002815</v>
      </c>
      <c r="C22">
        <v>397601</v>
      </c>
      <c r="D22">
        <v>2644372</v>
      </c>
      <c r="E22">
        <v>5960842</v>
      </c>
      <c r="F22">
        <v>0.29372723975778686</v>
      </c>
      <c r="G22">
        <v>4.4164075347544074E-2</v>
      </c>
    </row>
    <row r="23" spans="1:7" x14ac:dyDescent="0.35">
      <c r="A23" s="7" t="s">
        <v>27</v>
      </c>
      <c r="B23">
        <v>63391662</v>
      </c>
      <c r="C23">
        <v>4311214</v>
      </c>
      <c r="D23">
        <v>15944020</v>
      </c>
      <c r="E23">
        <v>43136428</v>
      </c>
      <c r="F23">
        <v>0.25151604322978627</v>
      </c>
      <c r="G23">
        <v>6.8009164990815357E-2</v>
      </c>
    </row>
    <row r="24" spans="1:7" x14ac:dyDescent="0.35">
      <c r="A24" s="7" t="s">
        <v>28</v>
      </c>
      <c r="B24">
        <v>144990399</v>
      </c>
      <c r="C24">
        <v>9609604</v>
      </c>
      <c r="D24">
        <v>52876838</v>
      </c>
      <c r="E24">
        <v>82503957</v>
      </c>
      <c r="F24">
        <v>0.36469199591622614</v>
      </c>
      <c r="G24">
        <v>6.6277519520447692E-2</v>
      </c>
    </row>
    <row r="25" spans="1:7" x14ac:dyDescent="0.35">
      <c r="A25" s="7" t="s">
        <v>29</v>
      </c>
      <c r="B25">
        <v>246525787</v>
      </c>
      <c r="C25">
        <v>13309053</v>
      </c>
      <c r="D25">
        <v>116984268</v>
      </c>
      <c r="E25">
        <v>116232466</v>
      </c>
      <c r="F25">
        <v>0.47453156695530596</v>
      </c>
      <c r="G25">
        <v>5.3986453757878076E-2</v>
      </c>
    </row>
    <row r="26" spans="1:7" x14ac:dyDescent="0.35">
      <c r="A26" s="7" t="s">
        <v>30</v>
      </c>
      <c r="B26">
        <v>362895848</v>
      </c>
      <c r="C26">
        <v>15709667</v>
      </c>
      <c r="D26">
        <v>199594224</v>
      </c>
      <c r="E26">
        <v>147591957</v>
      </c>
      <c r="F26">
        <v>0.55000415436001349</v>
      </c>
      <c r="G26">
        <v>4.3289740256273197E-2</v>
      </c>
    </row>
    <row r="27" spans="1:7" x14ac:dyDescent="0.35">
      <c r="A27" s="7" t="s">
        <v>18</v>
      </c>
      <c r="B27">
        <v>828508482</v>
      </c>
      <c r="C27">
        <v>43384903</v>
      </c>
      <c r="D27">
        <v>388408229</v>
      </c>
      <c r="E27">
        <v>396715350</v>
      </c>
      <c r="F27">
        <v>0.46880416729396862</v>
      </c>
      <c r="G27">
        <v>5.2365068001802302E-2</v>
      </c>
    </row>
    <row r="29" spans="1:7" x14ac:dyDescent="0.35">
      <c r="A29" s="40" t="s">
        <v>73</v>
      </c>
      <c r="B29" s="40"/>
      <c r="C29" s="40"/>
      <c r="D29" s="40"/>
    </row>
    <row r="30" spans="1:7" x14ac:dyDescent="0.35">
      <c r="A30" s="40"/>
      <c r="B30" s="40"/>
      <c r="C30" s="40"/>
      <c r="D30" s="40"/>
    </row>
    <row r="31" spans="1:7" x14ac:dyDescent="0.35">
      <c r="A31" s="6" t="s">
        <v>17</v>
      </c>
      <c r="B31" t="s">
        <v>20</v>
      </c>
      <c r="C31" t="s">
        <v>23</v>
      </c>
      <c r="D31" t="s">
        <v>60</v>
      </c>
    </row>
    <row r="32" spans="1:7" x14ac:dyDescent="0.35">
      <c r="A32" s="7" t="s">
        <v>24</v>
      </c>
      <c r="B32">
        <v>38534</v>
      </c>
      <c r="C32">
        <v>36807</v>
      </c>
      <c r="D32" s="24">
        <v>0.95518243629002964</v>
      </c>
    </row>
    <row r="33" spans="1:4" x14ac:dyDescent="0.35">
      <c r="A33" s="7" t="s">
        <v>25</v>
      </c>
      <c r="B33">
        <v>1663437</v>
      </c>
      <c r="C33">
        <v>1252893</v>
      </c>
      <c r="D33" s="24">
        <v>0.75319534193359894</v>
      </c>
    </row>
    <row r="34" spans="1:4" x14ac:dyDescent="0.35">
      <c r="A34" s="7" t="s">
        <v>26</v>
      </c>
      <c r="B34">
        <v>9002815</v>
      </c>
      <c r="C34">
        <v>5960842</v>
      </c>
      <c r="D34" s="24">
        <v>0.66210868489466901</v>
      </c>
    </row>
    <row r="35" spans="1:4" x14ac:dyDescent="0.35">
      <c r="A35" s="7" t="s">
        <v>27</v>
      </c>
      <c r="B35">
        <v>63391662</v>
      </c>
      <c r="C35">
        <v>43136428</v>
      </c>
      <c r="D35" s="24">
        <v>0.6804747917793984</v>
      </c>
    </row>
    <row r="36" spans="1:4" x14ac:dyDescent="0.35">
      <c r="A36" s="7" t="s">
        <v>28</v>
      </c>
      <c r="B36">
        <v>144990399</v>
      </c>
      <c r="C36">
        <v>82503957</v>
      </c>
      <c r="D36" s="24">
        <v>0.56903048456332617</v>
      </c>
    </row>
    <row r="37" spans="1:4" x14ac:dyDescent="0.35">
      <c r="A37" s="7" t="s">
        <v>29</v>
      </c>
      <c r="B37">
        <v>246525787</v>
      </c>
      <c r="C37">
        <v>116232466</v>
      </c>
      <c r="D37" s="24">
        <v>0.47148197928681596</v>
      </c>
    </row>
    <row r="38" spans="1:4" x14ac:dyDescent="0.35">
      <c r="A38" s="7" t="s">
        <v>30</v>
      </c>
      <c r="B38">
        <v>362895848</v>
      </c>
      <c r="C38">
        <v>147591957</v>
      </c>
      <c r="D38" s="24">
        <v>0.40670610538371327</v>
      </c>
    </row>
    <row r="39" spans="1:4" x14ac:dyDescent="0.35">
      <c r="A39" s="7" t="s">
        <v>18</v>
      </c>
      <c r="B39">
        <v>828508482</v>
      </c>
      <c r="C39">
        <v>396715350</v>
      </c>
      <c r="D39" s="24">
        <v>0.47883076470422908</v>
      </c>
    </row>
    <row r="42" spans="1:4" x14ac:dyDescent="0.35">
      <c r="A42" s="40" t="s">
        <v>61</v>
      </c>
      <c r="B42" s="40"/>
      <c r="C42" s="40"/>
      <c r="D42" s="40"/>
    </row>
    <row r="43" spans="1:4" x14ac:dyDescent="0.35">
      <c r="A43" s="40"/>
      <c r="B43" s="40"/>
      <c r="C43" s="40"/>
      <c r="D43" s="40"/>
    </row>
    <row r="44" spans="1:4" x14ac:dyDescent="0.35">
      <c r="A44" s="6" t="s">
        <v>17</v>
      </c>
      <c r="B44" t="s">
        <v>36</v>
      </c>
    </row>
    <row r="45" spans="1:4" x14ac:dyDescent="0.35">
      <c r="A45" s="7" t="s">
        <v>24</v>
      </c>
      <c r="B45">
        <v>24</v>
      </c>
    </row>
    <row r="46" spans="1:4" x14ac:dyDescent="0.35">
      <c r="A46" s="7" t="s">
        <v>25</v>
      </c>
      <c r="B46">
        <v>61</v>
      </c>
    </row>
    <row r="47" spans="1:4" x14ac:dyDescent="0.35">
      <c r="A47" s="7" t="s">
        <v>26</v>
      </c>
      <c r="B47">
        <v>179</v>
      </c>
    </row>
    <row r="48" spans="1:4" x14ac:dyDescent="0.35">
      <c r="A48" s="7" t="s">
        <v>27</v>
      </c>
      <c r="B48">
        <v>186</v>
      </c>
    </row>
    <row r="49" spans="1:2" x14ac:dyDescent="0.35">
      <c r="A49" s="7" t="s">
        <v>28</v>
      </c>
      <c r="B49">
        <v>187</v>
      </c>
    </row>
    <row r="50" spans="1:2" x14ac:dyDescent="0.35">
      <c r="A50" s="7" t="s">
        <v>29</v>
      </c>
      <c r="B50">
        <v>187</v>
      </c>
    </row>
    <row r="51" spans="1:2" x14ac:dyDescent="0.35">
      <c r="A51" s="7" t="s">
        <v>30</v>
      </c>
      <c r="B51">
        <v>187</v>
      </c>
    </row>
    <row r="52" spans="1:2" x14ac:dyDescent="0.35">
      <c r="A52" s="7" t="s">
        <v>18</v>
      </c>
      <c r="B52">
        <v>187</v>
      </c>
    </row>
  </sheetData>
  <mergeCells count="6">
    <mergeCell ref="A1:K1"/>
    <mergeCell ref="A29:D30"/>
    <mergeCell ref="A42:D43"/>
    <mergeCell ref="I2:M3"/>
    <mergeCell ref="A2:D3"/>
    <mergeCell ref="A16:E17"/>
  </mergeCell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FFC0-ED4E-44D3-95B4-597907BAC0C6}">
  <dimension ref="A1:E226"/>
  <sheetViews>
    <sheetView zoomScale="63" workbookViewId="0">
      <selection activeCell="H35" sqref="H35"/>
    </sheetView>
  </sheetViews>
  <sheetFormatPr defaultRowHeight="14.5" x14ac:dyDescent="0.35"/>
  <cols>
    <col min="1" max="1" width="13.6328125" bestFit="1" customWidth="1"/>
    <col min="2" max="2" width="11.54296875" bestFit="1" customWidth="1"/>
    <col min="3" max="3" width="15.26953125" bestFit="1" customWidth="1"/>
    <col min="4" max="5" width="14.6328125" bestFit="1" customWidth="1"/>
  </cols>
  <sheetData>
    <row r="1" spans="1:5" x14ac:dyDescent="0.35">
      <c r="A1" t="s">
        <v>0</v>
      </c>
      <c r="B1" t="s">
        <v>12</v>
      </c>
      <c r="C1" t="s">
        <v>64</v>
      </c>
      <c r="D1" t="s">
        <v>65</v>
      </c>
      <c r="E1" t="s">
        <v>66</v>
      </c>
    </row>
    <row r="2" spans="1:5" x14ac:dyDescent="0.35">
      <c r="A2" s="1">
        <v>43852</v>
      </c>
      <c r="B2">
        <v>555</v>
      </c>
    </row>
    <row r="3" spans="1:5" x14ac:dyDescent="0.35">
      <c r="A3" s="1">
        <v>43853</v>
      </c>
      <c r="B3">
        <v>654</v>
      </c>
    </row>
    <row r="4" spans="1:5" x14ac:dyDescent="0.35">
      <c r="A4" s="1">
        <v>43854</v>
      </c>
      <c r="B4">
        <v>941</v>
      </c>
    </row>
    <row r="5" spans="1:5" x14ac:dyDescent="0.35">
      <c r="A5" s="1">
        <v>43855</v>
      </c>
      <c r="B5">
        <v>1434</v>
      </c>
    </row>
    <row r="6" spans="1:5" x14ac:dyDescent="0.35">
      <c r="A6" s="1">
        <v>43856</v>
      </c>
      <c r="B6">
        <v>2118</v>
      </c>
    </row>
    <row r="7" spans="1:5" x14ac:dyDescent="0.35">
      <c r="A7" s="1">
        <v>43857</v>
      </c>
      <c r="B7">
        <v>2927</v>
      </c>
    </row>
    <row r="8" spans="1:5" x14ac:dyDescent="0.35">
      <c r="A8" s="1">
        <v>43858</v>
      </c>
      <c r="B8">
        <v>5578</v>
      </c>
    </row>
    <row r="9" spans="1:5" x14ac:dyDescent="0.35">
      <c r="A9" s="1">
        <v>43859</v>
      </c>
      <c r="B9">
        <v>6166</v>
      </c>
    </row>
    <row r="10" spans="1:5" x14ac:dyDescent="0.35">
      <c r="A10" s="1">
        <v>43860</v>
      </c>
      <c r="B10">
        <v>8234</v>
      </c>
    </row>
    <row r="11" spans="1:5" x14ac:dyDescent="0.35">
      <c r="A11" s="1">
        <v>43861</v>
      </c>
      <c r="B11">
        <v>9927</v>
      </c>
    </row>
    <row r="12" spans="1:5" x14ac:dyDescent="0.35">
      <c r="A12" s="1">
        <v>43862</v>
      </c>
      <c r="B12">
        <v>12038</v>
      </c>
    </row>
    <row r="13" spans="1:5" x14ac:dyDescent="0.35">
      <c r="A13" s="1">
        <v>43863</v>
      </c>
      <c r="B13">
        <v>16787</v>
      </c>
    </row>
    <row r="14" spans="1:5" x14ac:dyDescent="0.35">
      <c r="A14" s="1">
        <v>43864</v>
      </c>
      <c r="B14">
        <v>19887</v>
      </c>
    </row>
    <row r="15" spans="1:5" x14ac:dyDescent="0.35">
      <c r="A15" s="1">
        <v>43865</v>
      </c>
      <c r="B15">
        <v>23898</v>
      </c>
    </row>
    <row r="16" spans="1:5" x14ac:dyDescent="0.35">
      <c r="A16" s="1">
        <v>43866</v>
      </c>
      <c r="B16">
        <v>27643</v>
      </c>
    </row>
    <row r="17" spans="1:2" x14ac:dyDescent="0.35">
      <c r="A17" s="1">
        <v>43867</v>
      </c>
      <c r="B17">
        <v>30802</v>
      </c>
    </row>
    <row r="18" spans="1:2" x14ac:dyDescent="0.35">
      <c r="A18" s="1">
        <v>43868</v>
      </c>
      <c r="B18">
        <v>34334</v>
      </c>
    </row>
    <row r="19" spans="1:2" x14ac:dyDescent="0.35">
      <c r="A19" s="1">
        <v>43869</v>
      </c>
      <c r="B19">
        <v>37068</v>
      </c>
    </row>
    <row r="20" spans="1:2" x14ac:dyDescent="0.35">
      <c r="A20" s="1">
        <v>43870</v>
      </c>
      <c r="B20">
        <v>40095</v>
      </c>
    </row>
    <row r="21" spans="1:2" x14ac:dyDescent="0.35">
      <c r="A21" s="1">
        <v>43871</v>
      </c>
      <c r="B21">
        <v>42633</v>
      </c>
    </row>
    <row r="22" spans="1:2" x14ac:dyDescent="0.35">
      <c r="A22" s="1">
        <v>43872</v>
      </c>
      <c r="B22">
        <v>44675</v>
      </c>
    </row>
    <row r="23" spans="1:2" x14ac:dyDescent="0.35">
      <c r="A23" s="1">
        <v>43873</v>
      </c>
      <c r="B23">
        <v>46561</v>
      </c>
    </row>
    <row r="24" spans="1:2" x14ac:dyDescent="0.35">
      <c r="A24" s="1">
        <v>43874</v>
      </c>
      <c r="B24">
        <v>60206</v>
      </c>
    </row>
    <row r="25" spans="1:2" x14ac:dyDescent="0.35">
      <c r="A25" s="1">
        <v>43875</v>
      </c>
      <c r="B25">
        <v>66690</v>
      </c>
    </row>
    <row r="26" spans="1:2" x14ac:dyDescent="0.35">
      <c r="A26" s="1">
        <v>43876</v>
      </c>
      <c r="B26">
        <v>68765</v>
      </c>
    </row>
    <row r="27" spans="1:2" x14ac:dyDescent="0.35">
      <c r="A27" s="1">
        <v>43877</v>
      </c>
      <c r="B27">
        <v>70879</v>
      </c>
    </row>
    <row r="28" spans="1:2" x14ac:dyDescent="0.35">
      <c r="A28" s="1">
        <v>43878</v>
      </c>
      <c r="B28">
        <v>72815</v>
      </c>
    </row>
    <row r="29" spans="1:2" x14ac:dyDescent="0.35">
      <c r="A29" s="1">
        <v>43879</v>
      </c>
      <c r="B29">
        <v>74609</v>
      </c>
    </row>
    <row r="30" spans="1:2" x14ac:dyDescent="0.35">
      <c r="A30" s="1">
        <v>43880</v>
      </c>
      <c r="B30">
        <v>75030</v>
      </c>
    </row>
    <row r="31" spans="1:2" x14ac:dyDescent="0.35">
      <c r="A31" s="1">
        <v>43881</v>
      </c>
      <c r="B31">
        <v>75577</v>
      </c>
    </row>
    <row r="32" spans="1:2" x14ac:dyDescent="0.35">
      <c r="A32" s="1">
        <v>43882</v>
      </c>
      <c r="B32">
        <v>76206</v>
      </c>
    </row>
    <row r="33" spans="1:2" x14ac:dyDescent="0.35">
      <c r="A33" s="1">
        <v>43883</v>
      </c>
      <c r="B33">
        <v>77967</v>
      </c>
    </row>
    <row r="34" spans="1:2" x14ac:dyDescent="0.35">
      <c r="A34" s="1">
        <v>43884</v>
      </c>
      <c r="B34">
        <v>78290</v>
      </c>
    </row>
    <row r="35" spans="1:2" x14ac:dyDescent="0.35">
      <c r="A35" s="1">
        <v>43885</v>
      </c>
      <c r="B35">
        <v>78854</v>
      </c>
    </row>
    <row r="36" spans="1:2" x14ac:dyDescent="0.35">
      <c r="A36" s="1">
        <v>43886</v>
      </c>
      <c r="B36">
        <v>79707</v>
      </c>
    </row>
    <row r="37" spans="1:2" x14ac:dyDescent="0.35">
      <c r="A37" s="1">
        <v>43887</v>
      </c>
      <c r="B37">
        <v>80670</v>
      </c>
    </row>
    <row r="38" spans="1:2" x14ac:dyDescent="0.35">
      <c r="A38" s="1">
        <v>43888</v>
      </c>
      <c r="B38">
        <v>82034</v>
      </c>
    </row>
    <row r="39" spans="1:2" x14ac:dyDescent="0.35">
      <c r="A39" s="1">
        <v>43889</v>
      </c>
      <c r="B39">
        <v>83411</v>
      </c>
    </row>
    <row r="40" spans="1:2" x14ac:dyDescent="0.35">
      <c r="A40" s="1">
        <v>43890</v>
      </c>
      <c r="B40">
        <v>85306</v>
      </c>
    </row>
    <row r="41" spans="1:2" x14ac:dyDescent="0.35">
      <c r="A41" s="1">
        <v>43891</v>
      </c>
      <c r="B41">
        <v>87690</v>
      </c>
    </row>
    <row r="42" spans="1:2" x14ac:dyDescent="0.35">
      <c r="A42" s="1">
        <v>43892</v>
      </c>
      <c r="B42">
        <v>89664</v>
      </c>
    </row>
    <row r="43" spans="1:2" x14ac:dyDescent="0.35">
      <c r="A43" s="1">
        <v>43893</v>
      </c>
      <c r="B43">
        <v>92241</v>
      </c>
    </row>
    <row r="44" spans="1:2" x14ac:dyDescent="0.35">
      <c r="A44" s="1">
        <v>43894</v>
      </c>
      <c r="B44">
        <v>94540</v>
      </c>
    </row>
    <row r="45" spans="1:2" x14ac:dyDescent="0.35">
      <c r="A45" s="1">
        <v>43895</v>
      </c>
      <c r="B45">
        <v>97331</v>
      </c>
    </row>
    <row r="46" spans="1:2" x14ac:dyDescent="0.35">
      <c r="A46" s="1">
        <v>43896</v>
      </c>
      <c r="B46">
        <v>101274</v>
      </c>
    </row>
    <row r="47" spans="1:2" x14ac:dyDescent="0.35">
      <c r="A47" s="1">
        <v>43897</v>
      </c>
      <c r="B47">
        <v>105312</v>
      </c>
    </row>
    <row r="48" spans="1:2" x14ac:dyDescent="0.35">
      <c r="A48" s="1">
        <v>43898</v>
      </c>
      <c r="B48">
        <v>109266</v>
      </c>
    </row>
    <row r="49" spans="1:2" x14ac:dyDescent="0.35">
      <c r="A49" s="1">
        <v>43899</v>
      </c>
      <c r="B49">
        <v>113166</v>
      </c>
    </row>
    <row r="50" spans="1:2" x14ac:dyDescent="0.35">
      <c r="A50" s="1">
        <v>43900</v>
      </c>
      <c r="B50">
        <v>118190</v>
      </c>
    </row>
    <row r="51" spans="1:2" x14ac:dyDescent="0.35">
      <c r="A51" s="1">
        <v>43901</v>
      </c>
      <c r="B51">
        <v>125853</v>
      </c>
    </row>
    <row r="52" spans="1:2" x14ac:dyDescent="0.35">
      <c r="A52" s="1">
        <v>43902</v>
      </c>
      <c r="B52">
        <v>131603</v>
      </c>
    </row>
    <row r="53" spans="1:2" x14ac:dyDescent="0.35">
      <c r="A53" s="1">
        <v>43903</v>
      </c>
      <c r="B53">
        <v>146008</v>
      </c>
    </row>
    <row r="54" spans="1:2" x14ac:dyDescent="0.35">
      <c r="A54" s="1">
        <v>43904</v>
      </c>
      <c r="B54">
        <v>157114</v>
      </c>
    </row>
    <row r="55" spans="1:2" x14ac:dyDescent="0.35">
      <c r="A55" s="1">
        <v>43905</v>
      </c>
      <c r="B55">
        <v>168260</v>
      </c>
    </row>
    <row r="56" spans="1:2" x14ac:dyDescent="0.35">
      <c r="A56" s="1">
        <v>43906</v>
      </c>
      <c r="B56">
        <v>182919</v>
      </c>
    </row>
    <row r="57" spans="1:2" x14ac:dyDescent="0.35">
      <c r="A57" s="1">
        <v>43907</v>
      </c>
      <c r="B57">
        <v>198757</v>
      </c>
    </row>
    <row r="58" spans="1:2" x14ac:dyDescent="0.35">
      <c r="A58" s="1">
        <v>43908</v>
      </c>
      <c r="B58">
        <v>218343</v>
      </c>
    </row>
    <row r="59" spans="1:2" x14ac:dyDescent="0.35">
      <c r="A59" s="1">
        <v>43909</v>
      </c>
      <c r="B59">
        <v>246261</v>
      </c>
    </row>
    <row r="60" spans="1:2" x14ac:dyDescent="0.35">
      <c r="A60" s="1">
        <v>43910</v>
      </c>
      <c r="B60">
        <v>275869</v>
      </c>
    </row>
    <row r="61" spans="1:2" x14ac:dyDescent="0.35">
      <c r="A61" s="1">
        <v>43911</v>
      </c>
      <c r="B61">
        <v>308175</v>
      </c>
    </row>
    <row r="62" spans="1:2" x14ac:dyDescent="0.35">
      <c r="A62" s="1">
        <v>43912</v>
      </c>
      <c r="B62">
        <v>341585</v>
      </c>
    </row>
    <row r="63" spans="1:2" x14ac:dyDescent="0.35">
      <c r="A63" s="1">
        <v>43913</v>
      </c>
      <c r="B63">
        <v>383750</v>
      </c>
    </row>
    <row r="64" spans="1:2" x14ac:dyDescent="0.35">
      <c r="A64" s="1">
        <v>43914</v>
      </c>
      <c r="B64">
        <v>424889</v>
      </c>
    </row>
    <row r="65" spans="1:2" x14ac:dyDescent="0.35">
      <c r="A65" s="1">
        <v>43915</v>
      </c>
      <c r="B65">
        <v>475706</v>
      </c>
    </row>
    <row r="66" spans="1:2" x14ac:dyDescent="0.35">
      <c r="A66" s="1">
        <v>43916</v>
      </c>
      <c r="B66">
        <v>538666</v>
      </c>
    </row>
    <row r="67" spans="1:2" x14ac:dyDescent="0.35">
      <c r="A67" s="1">
        <v>43917</v>
      </c>
      <c r="B67">
        <v>603066</v>
      </c>
    </row>
    <row r="68" spans="1:2" x14ac:dyDescent="0.35">
      <c r="A68" s="1">
        <v>43918</v>
      </c>
      <c r="B68">
        <v>670723</v>
      </c>
    </row>
    <row r="69" spans="1:2" x14ac:dyDescent="0.35">
      <c r="A69" s="1">
        <v>43919</v>
      </c>
      <c r="B69">
        <v>730300</v>
      </c>
    </row>
    <row r="70" spans="1:2" x14ac:dyDescent="0.35">
      <c r="A70" s="1">
        <v>43920</v>
      </c>
      <c r="B70">
        <v>794939</v>
      </c>
    </row>
    <row r="71" spans="1:2" x14ac:dyDescent="0.35">
      <c r="A71" s="1">
        <v>43921</v>
      </c>
      <c r="B71">
        <v>871355</v>
      </c>
    </row>
    <row r="72" spans="1:2" x14ac:dyDescent="0.35">
      <c r="A72" s="1">
        <v>43922</v>
      </c>
      <c r="B72">
        <v>947569</v>
      </c>
    </row>
    <row r="73" spans="1:2" x14ac:dyDescent="0.35">
      <c r="A73" s="1">
        <v>43923</v>
      </c>
      <c r="B73">
        <v>1028968</v>
      </c>
    </row>
    <row r="74" spans="1:2" x14ac:dyDescent="0.35">
      <c r="A74" s="1">
        <v>43924</v>
      </c>
      <c r="B74">
        <v>1112123</v>
      </c>
    </row>
    <row r="75" spans="1:2" x14ac:dyDescent="0.35">
      <c r="A75" s="1">
        <v>43925</v>
      </c>
      <c r="B75">
        <v>1192586</v>
      </c>
    </row>
    <row r="76" spans="1:2" x14ac:dyDescent="0.35">
      <c r="A76" s="1">
        <v>43926</v>
      </c>
      <c r="B76">
        <v>1264304</v>
      </c>
    </row>
    <row r="77" spans="1:2" x14ac:dyDescent="0.35">
      <c r="A77" s="1">
        <v>43927</v>
      </c>
      <c r="B77">
        <v>1336976</v>
      </c>
    </row>
    <row r="78" spans="1:2" x14ac:dyDescent="0.35">
      <c r="A78" s="1">
        <v>43928</v>
      </c>
      <c r="B78">
        <v>1413849</v>
      </c>
    </row>
    <row r="79" spans="1:2" x14ac:dyDescent="0.35">
      <c r="A79" s="1">
        <v>43929</v>
      </c>
      <c r="B79">
        <v>1497624</v>
      </c>
    </row>
    <row r="80" spans="1:2" x14ac:dyDescent="0.35">
      <c r="A80" s="1">
        <v>43930</v>
      </c>
      <c r="B80">
        <v>1584249</v>
      </c>
    </row>
    <row r="81" spans="1:2" x14ac:dyDescent="0.35">
      <c r="A81" s="1">
        <v>43931</v>
      </c>
      <c r="B81">
        <v>1671907</v>
      </c>
    </row>
    <row r="82" spans="1:2" x14ac:dyDescent="0.35">
      <c r="A82" s="1">
        <v>43932</v>
      </c>
      <c r="B82">
        <v>1748872</v>
      </c>
    </row>
    <row r="83" spans="1:2" x14ac:dyDescent="0.35">
      <c r="A83" s="1">
        <v>43933</v>
      </c>
      <c r="B83">
        <v>1845653</v>
      </c>
    </row>
    <row r="84" spans="1:2" x14ac:dyDescent="0.35">
      <c r="A84" s="1">
        <v>43934</v>
      </c>
      <c r="B84">
        <v>1915247</v>
      </c>
    </row>
    <row r="85" spans="1:2" x14ac:dyDescent="0.35">
      <c r="A85" s="1">
        <v>43935</v>
      </c>
      <c r="B85">
        <v>1985174</v>
      </c>
    </row>
    <row r="86" spans="1:2" x14ac:dyDescent="0.35">
      <c r="A86" s="1">
        <v>43936</v>
      </c>
      <c r="B86">
        <v>2066003</v>
      </c>
    </row>
    <row r="87" spans="1:2" x14ac:dyDescent="0.35">
      <c r="A87" s="1">
        <v>43937</v>
      </c>
      <c r="B87">
        <v>2162715</v>
      </c>
    </row>
    <row r="88" spans="1:2" x14ac:dyDescent="0.35">
      <c r="A88" s="1">
        <v>43938</v>
      </c>
      <c r="B88">
        <v>2250439</v>
      </c>
    </row>
    <row r="89" spans="1:2" x14ac:dyDescent="0.35">
      <c r="A89" s="1">
        <v>43939</v>
      </c>
      <c r="B89">
        <v>2324396</v>
      </c>
    </row>
    <row r="90" spans="1:2" x14ac:dyDescent="0.35">
      <c r="A90" s="1">
        <v>43940</v>
      </c>
      <c r="B90">
        <v>2404919</v>
      </c>
    </row>
    <row r="91" spans="1:2" x14ac:dyDescent="0.35">
      <c r="A91" s="1">
        <v>43941</v>
      </c>
      <c r="B91">
        <v>2478258</v>
      </c>
    </row>
    <row r="92" spans="1:2" x14ac:dyDescent="0.35">
      <c r="A92" s="1">
        <v>43942</v>
      </c>
      <c r="B92">
        <v>2553508</v>
      </c>
    </row>
    <row r="93" spans="1:2" x14ac:dyDescent="0.35">
      <c r="A93" s="1">
        <v>43943</v>
      </c>
      <c r="B93">
        <v>2630314</v>
      </c>
    </row>
    <row r="94" spans="1:2" x14ac:dyDescent="0.35">
      <c r="A94" s="1">
        <v>43944</v>
      </c>
      <c r="B94">
        <v>2719327</v>
      </c>
    </row>
    <row r="95" spans="1:2" x14ac:dyDescent="0.35">
      <c r="A95" s="1">
        <v>43945</v>
      </c>
      <c r="B95">
        <v>2806267</v>
      </c>
    </row>
    <row r="96" spans="1:2" x14ac:dyDescent="0.35">
      <c r="A96" s="1">
        <v>43946</v>
      </c>
      <c r="B96">
        <v>2891199</v>
      </c>
    </row>
    <row r="97" spans="1:2" x14ac:dyDescent="0.35">
      <c r="A97" s="1">
        <v>43947</v>
      </c>
      <c r="B97">
        <v>2964146</v>
      </c>
    </row>
    <row r="98" spans="1:2" x14ac:dyDescent="0.35">
      <c r="A98" s="1">
        <v>43948</v>
      </c>
      <c r="B98">
        <v>3032850</v>
      </c>
    </row>
    <row r="99" spans="1:2" x14ac:dyDescent="0.35">
      <c r="A99" s="1">
        <v>43949</v>
      </c>
      <c r="B99">
        <v>3108149</v>
      </c>
    </row>
    <row r="100" spans="1:2" x14ac:dyDescent="0.35">
      <c r="A100" s="1">
        <v>43950</v>
      </c>
      <c r="B100">
        <v>3185195</v>
      </c>
    </row>
    <row r="101" spans="1:2" x14ac:dyDescent="0.35">
      <c r="A101" s="1">
        <v>43951</v>
      </c>
      <c r="B101">
        <v>3268876</v>
      </c>
    </row>
    <row r="102" spans="1:2" x14ac:dyDescent="0.35">
      <c r="A102" s="1">
        <v>43952</v>
      </c>
      <c r="B102">
        <v>3355922</v>
      </c>
    </row>
    <row r="103" spans="1:2" x14ac:dyDescent="0.35">
      <c r="A103" s="1">
        <v>43953</v>
      </c>
      <c r="B103">
        <v>3437608</v>
      </c>
    </row>
    <row r="104" spans="1:2" x14ac:dyDescent="0.35">
      <c r="A104" s="1">
        <v>43954</v>
      </c>
      <c r="B104">
        <v>3515244</v>
      </c>
    </row>
    <row r="105" spans="1:2" x14ac:dyDescent="0.35">
      <c r="A105" s="1">
        <v>43955</v>
      </c>
      <c r="B105">
        <v>3591321</v>
      </c>
    </row>
    <row r="106" spans="1:2" x14ac:dyDescent="0.35">
      <c r="A106" s="1">
        <v>43956</v>
      </c>
      <c r="B106">
        <v>3671310</v>
      </c>
    </row>
    <row r="107" spans="1:2" x14ac:dyDescent="0.35">
      <c r="A107" s="1">
        <v>43957</v>
      </c>
      <c r="B107">
        <v>3761332</v>
      </c>
    </row>
    <row r="108" spans="1:2" x14ac:dyDescent="0.35">
      <c r="A108" s="1">
        <v>43958</v>
      </c>
      <c r="B108">
        <v>3850418</v>
      </c>
    </row>
    <row r="109" spans="1:2" x14ac:dyDescent="0.35">
      <c r="A109" s="1">
        <v>43959</v>
      </c>
      <c r="B109">
        <v>3941935</v>
      </c>
    </row>
    <row r="110" spans="1:2" x14ac:dyDescent="0.35">
      <c r="A110" s="1">
        <v>43960</v>
      </c>
      <c r="B110">
        <v>4027781</v>
      </c>
    </row>
    <row r="111" spans="1:2" x14ac:dyDescent="0.35">
      <c r="A111" s="1">
        <v>43961</v>
      </c>
      <c r="B111">
        <v>4104027</v>
      </c>
    </row>
    <row r="112" spans="1:2" x14ac:dyDescent="0.35">
      <c r="A112" s="1">
        <v>43962</v>
      </c>
      <c r="B112">
        <v>4180268</v>
      </c>
    </row>
    <row r="113" spans="1:2" x14ac:dyDescent="0.35">
      <c r="A113" s="1">
        <v>43963</v>
      </c>
      <c r="B113">
        <v>4263867</v>
      </c>
    </row>
    <row r="114" spans="1:2" x14ac:dyDescent="0.35">
      <c r="A114" s="1">
        <v>43964</v>
      </c>
      <c r="B114">
        <v>4348619</v>
      </c>
    </row>
    <row r="115" spans="1:2" x14ac:dyDescent="0.35">
      <c r="A115" s="1">
        <v>43965</v>
      </c>
      <c r="B115">
        <v>4445724</v>
      </c>
    </row>
    <row r="116" spans="1:2" x14ac:dyDescent="0.35">
      <c r="A116" s="1">
        <v>43966</v>
      </c>
      <c r="B116">
        <v>4542073</v>
      </c>
    </row>
    <row r="117" spans="1:2" x14ac:dyDescent="0.35">
      <c r="A117" s="1">
        <v>43967</v>
      </c>
      <c r="B117">
        <v>4637485</v>
      </c>
    </row>
    <row r="118" spans="1:2" x14ac:dyDescent="0.35">
      <c r="A118" s="1">
        <v>43968</v>
      </c>
      <c r="B118">
        <v>4715994</v>
      </c>
    </row>
    <row r="119" spans="1:2" x14ac:dyDescent="0.35">
      <c r="A119" s="1">
        <v>43969</v>
      </c>
      <c r="B119">
        <v>4804278</v>
      </c>
    </row>
    <row r="120" spans="1:2" x14ac:dyDescent="0.35">
      <c r="A120" s="1">
        <v>43970</v>
      </c>
      <c r="B120">
        <v>4900702</v>
      </c>
    </row>
    <row r="121" spans="1:2" x14ac:dyDescent="0.35">
      <c r="A121" s="1">
        <v>43971</v>
      </c>
      <c r="B121">
        <v>5003730</v>
      </c>
    </row>
    <row r="122" spans="1:2" x14ac:dyDescent="0.35">
      <c r="A122" s="1">
        <v>43972</v>
      </c>
      <c r="B122">
        <v>5110064</v>
      </c>
    </row>
    <row r="123" spans="1:2" x14ac:dyDescent="0.35">
      <c r="A123" s="1">
        <v>43973</v>
      </c>
      <c r="B123">
        <v>5216964</v>
      </c>
    </row>
    <row r="124" spans="1:2" x14ac:dyDescent="0.35">
      <c r="A124" s="1">
        <v>43974</v>
      </c>
      <c r="B124">
        <v>5322253</v>
      </c>
    </row>
    <row r="125" spans="1:2" x14ac:dyDescent="0.35">
      <c r="A125" s="1">
        <v>43975</v>
      </c>
      <c r="B125">
        <v>5417579</v>
      </c>
    </row>
    <row r="126" spans="1:2" x14ac:dyDescent="0.35">
      <c r="A126" s="1">
        <v>43976</v>
      </c>
      <c r="B126">
        <v>5504542</v>
      </c>
    </row>
    <row r="127" spans="1:2" x14ac:dyDescent="0.35">
      <c r="A127" s="1">
        <v>43977</v>
      </c>
      <c r="B127">
        <v>5597064</v>
      </c>
    </row>
    <row r="128" spans="1:2" x14ac:dyDescent="0.35">
      <c r="A128" s="1">
        <v>43978</v>
      </c>
      <c r="B128">
        <v>5699664</v>
      </c>
    </row>
    <row r="129" spans="1:2" x14ac:dyDescent="0.35">
      <c r="A129" s="1">
        <v>43979</v>
      </c>
      <c r="B129">
        <v>5818978</v>
      </c>
    </row>
    <row r="130" spans="1:2" x14ac:dyDescent="0.35">
      <c r="A130" s="1">
        <v>43980</v>
      </c>
      <c r="B130">
        <v>5940145</v>
      </c>
    </row>
    <row r="131" spans="1:2" x14ac:dyDescent="0.35">
      <c r="A131" s="1">
        <v>43981</v>
      </c>
      <c r="B131">
        <v>6077978</v>
      </c>
    </row>
    <row r="132" spans="1:2" x14ac:dyDescent="0.35">
      <c r="A132" s="1">
        <v>43982</v>
      </c>
      <c r="B132">
        <v>6185530</v>
      </c>
    </row>
    <row r="133" spans="1:2" x14ac:dyDescent="0.35">
      <c r="A133" s="1">
        <v>43983</v>
      </c>
      <c r="B133">
        <v>6280725</v>
      </c>
    </row>
    <row r="134" spans="1:2" x14ac:dyDescent="0.35">
      <c r="A134" s="1">
        <v>43984</v>
      </c>
      <c r="B134">
        <v>6401536</v>
      </c>
    </row>
    <row r="135" spans="1:2" x14ac:dyDescent="0.35">
      <c r="A135" s="1">
        <v>43985</v>
      </c>
      <c r="B135">
        <v>6520924</v>
      </c>
    </row>
    <row r="136" spans="1:2" x14ac:dyDescent="0.35">
      <c r="A136" s="1">
        <v>43986</v>
      </c>
      <c r="B136">
        <v>6647861</v>
      </c>
    </row>
    <row r="137" spans="1:2" x14ac:dyDescent="0.35">
      <c r="A137" s="1">
        <v>43987</v>
      </c>
      <c r="B137">
        <v>6778724</v>
      </c>
    </row>
    <row r="138" spans="1:2" x14ac:dyDescent="0.35">
      <c r="A138" s="1">
        <v>43988</v>
      </c>
      <c r="B138">
        <v>6914666</v>
      </c>
    </row>
    <row r="139" spans="1:2" x14ac:dyDescent="0.35">
      <c r="A139" s="1">
        <v>43989</v>
      </c>
      <c r="B139">
        <v>7026925</v>
      </c>
    </row>
    <row r="140" spans="1:2" x14ac:dyDescent="0.35">
      <c r="A140" s="1">
        <v>43990</v>
      </c>
      <c r="B140">
        <v>7129150</v>
      </c>
    </row>
    <row r="141" spans="1:2" x14ac:dyDescent="0.35">
      <c r="A141" s="1">
        <v>43991</v>
      </c>
      <c r="B141">
        <v>7253492</v>
      </c>
    </row>
    <row r="142" spans="1:2" x14ac:dyDescent="0.35">
      <c r="A142" s="1">
        <v>43992</v>
      </c>
      <c r="B142">
        <v>7387517</v>
      </c>
    </row>
    <row r="143" spans="1:2" x14ac:dyDescent="0.35">
      <c r="A143" s="1">
        <v>43993</v>
      </c>
      <c r="B143">
        <v>7525631</v>
      </c>
    </row>
    <row r="144" spans="1:2" x14ac:dyDescent="0.35">
      <c r="A144" s="1">
        <v>43994</v>
      </c>
      <c r="B144">
        <v>7654725</v>
      </c>
    </row>
    <row r="145" spans="1:2" x14ac:dyDescent="0.35">
      <c r="A145" s="1">
        <v>43995</v>
      </c>
      <c r="B145">
        <v>7790735</v>
      </c>
    </row>
    <row r="146" spans="1:2" x14ac:dyDescent="0.35">
      <c r="A146" s="1">
        <v>43996</v>
      </c>
      <c r="B146">
        <v>7924156</v>
      </c>
    </row>
    <row r="147" spans="1:2" x14ac:dyDescent="0.35">
      <c r="A147" s="1">
        <v>43997</v>
      </c>
      <c r="B147">
        <v>8043794</v>
      </c>
    </row>
    <row r="148" spans="1:2" x14ac:dyDescent="0.35">
      <c r="A148" s="1">
        <v>43998</v>
      </c>
      <c r="B148">
        <v>8185197</v>
      </c>
    </row>
    <row r="149" spans="1:2" x14ac:dyDescent="0.35">
      <c r="A149" s="1">
        <v>43999</v>
      </c>
      <c r="B149">
        <v>8327050</v>
      </c>
    </row>
    <row r="150" spans="1:2" x14ac:dyDescent="0.35">
      <c r="A150" s="1">
        <v>44000</v>
      </c>
      <c r="B150">
        <v>8466978</v>
      </c>
    </row>
    <row r="151" spans="1:2" x14ac:dyDescent="0.35">
      <c r="A151" s="1">
        <v>44001</v>
      </c>
      <c r="B151">
        <v>8647784</v>
      </c>
    </row>
    <row r="152" spans="1:2" x14ac:dyDescent="0.35">
      <c r="A152" s="1">
        <v>44002</v>
      </c>
      <c r="B152">
        <v>8805336</v>
      </c>
    </row>
    <row r="153" spans="1:2" x14ac:dyDescent="0.35">
      <c r="A153" s="1">
        <v>44003</v>
      </c>
      <c r="B153">
        <v>8933875</v>
      </c>
    </row>
    <row r="154" spans="1:2" x14ac:dyDescent="0.35">
      <c r="A154" s="1">
        <v>44004</v>
      </c>
      <c r="B154">
        <v>9071733</v>
      </c>
    </row>
    <row r="155" spans="1:2" x14ac:dyDescent="0.35">
      <c r="A155" s="1">
        <v>44005</v>
      </c>
      <c r="B155">
        <v>9237071</v>
      </c>
    </row>
    <row r="156" spans="1:2" x14ac:dyDescent="0.35">
      <c r="A156" s="1">
        <v>44006</v>
      </c>
      <c r="B156">
        <v>9408254</v>
      </c>
    </row>
    <row r="157" spans="1:2" x14ac:dyDescent="0.35">
      <c r="A157" s="1">
        <v>44007</v>
      </c>
      <c r="B157">
        <v>9586141</v>
      </c>
    </row>
    <row r="158" spans="1:2" x14ac:dyDescent="0.35">
      <c r="A158" s="1">
        <v>44008</v>
      </c>
      <c r="B158">
        <v>9777487</v>
      </c>
    </row>
    <row r="159" spans="1:2" x14ac:dyDescent="0.35">
      <c r="A159" s="1">
        <v>44009</v>
      </c>
      <c r="B159">
        <v>9955597</v>
      </c>
    </row>
    <row r="160" spans="1:2" x14ac:dyDescent="0.35">
      <c r="A160" s="1">
        <v>44010</v>
      </c>
      <c r="B160">
        <v>10117227</v>
      </c>
    </row>
    <row r="161" spans="1:2" x14ac:dyDescent="0.35">
      <c r="A161" s="1">
        <v>44011</v>
      </c>
      <c r="B161">
        <v>10275799</v>
      </c>
    </row>
    <row r="162" spans="1:2" x14ac:dyDescent="0.35">
      <c r="A162" s="1">
        <v>44012</v>
      </c>
      <c r="B162">
        <v>10449697</v>
      </c>
    </row>
    <row r="163" spans="1:2" x14ac:dyDescent="0.35">
      <c r="A163" s="1">
        <v>44013</v>
      </c>
      <c r="B163">
        <v>10667386</v>
      </c>
    </row>
    <row r="164" spans="1:2" x14ac:dyDescent="0.35">
      <c r="A164" s="1">
        <v>44014</v>
      </c>
      <c r="B164">
        <v>10875091</v>
      </c>
    </row>
    <row r="165" spans="1:2" x14ac:dyDescent="0.35">
      <c r="A165" s="1">
        <v>44015</v>
      </c>
      <c r="B165">
        <v>11078585</v>
      </c>
    </row>
    <row r="166" spans="1:2" x14ac:dyDescent="0.35">
      <c r="A166" s="1">
        <v>44016</v>
      </c>
      <c r="B166">
        <v>11272152</v>
      </c>
    </row>
    <row r="167" spans="1:2" x14ac:dyDescent="0.35">
      <c r="A167" s="1">
        <v>44017</v>
      </c>
      <c r="B167">
        <v>11454847</v>
      </c>
    </row>
    <row r="168" spans="1:2" x14ac:dyDescent="0.35">
      <c r="A168" s="1">
        <v>44018</v>
      </c>
      <c r="B168">
        <v>11622190</v>
      </c>
    </row>
    <row r="169" spans="1:2" x14ac:dyDescent="0.35">
      <c r="A169" s="1">
        <v>44019</v>
      </c>
      <c r="B169">
        <v>11833034</v>
      </c>
    </row>
    <row r="170" spans="1:2" x14ac:dyDescent="0.35">
      <c r="A170" s="1">
        <v>44020</v>
      </c>
      <c r="B170">
        <v>12044836</v>
      </c>
    </row>
    <row r="171" spans="1:2" x14ac:dyDescent="0.35">
      <c r="A171" s="1">
        <v>44021</v>
      </c>
      <c r="B171">
        <v>12273063</v>
      </c>
    </row>
    <row r="172" spans="1:2" x14ac:dyDescent="0.35">
      <c r="A172" s="1">
        <v>44022</v>
      </c>
      <c r="B172">
        <v>12505640</v>
      </c>
    </row>
    <row r="173" spans="1:2" x14ac:dyDescent="0.35">
      <c r="A173" s="1">
        <v>44023</v>
      </c>
      <c r="B173">
        <v>12721968</v>
      </c>
    </row>
    <row r="174" spans="1:2" x14ac:dyDescent="0.35">
      <c r="A174" s="1">
        <v>44024</v>
      </c>
      <c r="B174">
        <v>12914636</v>
      </c>
    </row>
    <row r="175" spans="1:2" x14ac:dyDescent="0.35">
      <c r="A175" s="1">
        <v>44025</v>
      </c>
      <c r="B175">
        <v>13107415</v>
      </c>
    </row>
    <row r="176" spans="1:2" x14ac:dyDescent="0.35">
      <c r="A176" s="1">
        <v>44026</v>
      </c>
      <c r="B176">
        <v>13328867</v>
      </c>
    </row>
    <row r="177" spans="1:5" x14ac:dyDescent="0.35">
      <c r="A177" s="1">
        <v>44027</v>
      </c>
      <c r="B177">
        <v>13559984</v>
      </c>
    </row>
    <row r="178" spans="1:5" x14ac:dyDescent="0.35">
      <c r="A178" s="1">
        <v>44028</v>
      </c>
      <c r="B178">
        <v>13812525</v>
      </c>
    </row>
    <row r="179" spans="1:5" x14ac:dyDescent="0.35">
      <c r="A179" s="1">
        <v>44029</v>
      </c>
      <c r="B179">
        <v>14054563</v>
      </c>
    </row>
    <row r="180" spans="1:5" x14ac:dyDescent="0.35">
      <c r="A180" s="1">
        <v>44030</v>
      </c>
      <c r="B180">
        <v>14292198</v>
      </c>
    </row>
    <row r="181" spans="1:5" x14ac:dyDescent="0.35">
      <c r="A181" s="1">
        <v>44031</v>
      </c>
      <c r="B181">
        <v>14506845</v>
      </c>
    </row>
    <row r="182" spans="1:5" x14ac:dyDescent="0.35">
      <c r="A182" s="1">
        <v>44032</v>
      </c>
      <c r="B182">
        <v>14713623</v>
      </c>
    </row>
    <row r="183" spans="1:5" x14ac:dyDescent="0.35">
      <c r="A183" s="1">
        <v>44033</v>
      </c>
      <c r="B183">
        <v>14947078</v>
      </c>
    </row>
    <row r="184" spans="1:5" x14ac:dyDescent="0.35">
      <c r="A184" s="1">
        <v>44034</v>
      </c>
      <c r="B184">
        <v>15227725</v>
      </c>
    </row>
    <row r="185" spans="1:5" x14ac:dyDescent="0.35">
      <c r="A185" s="1">
        <v>44035</v>
      </c>
      <c r="B185">
        <v>15510481</v>
      </c>
    </row>
    <row r="186" spans="1:5" x14ac:dyDescent="0.35">
      <c r="A186" s="1">
        <v>44036</v>
      </c>
      <c r="B186">
        <v>15791645</v>
      </c>
    </row>
    <row r="187" spans="1:5" x14ac:dyDescent="0.35">
      <c r="A187" s="1">
        <v>44037</v>
      </c>
      <c r="B187">
        <v>16047190</v>
      </c>
    </row>
    <row r="188" spans="1:5" x14ac:dyDescent="0.35">
      <c r="A188" s="1">
        <v>44038</v>
      </c>
      <c r="B188">
        <v>16251796</v>
      </c>
    </row>
    <row r="189" spans="1:5" x14ac:dyDescent="0.35">
      <c r="A189" s="1">
        <v>44039</v>
      </c>
      <c r="B189">
        <v>16480485</v>
      </c>
      <c r="C189">
        <v>16480485</v>
      </c>
      <c r="D189" s="8">
        <v>16480485</v>
      </c>
      <c r="E189" s="8">
        <v>16480485</v>
      </c>
    </row>
    <row r="190" spans="1:5" x14ac:dyDescent="0.35">
      <c r="A190" s="1">
        <v>44040</v>
      </c>
      <c r="C190">
        <f t="shared" ref="C190:C224" si="0">_xlfn.FORECAST.ETS(A190,$B$2:$B$189,$A$2:$A$189,1,1)</f>
        <v>16707149.484485693</v>
      </c>
      <c r="D190" s="8">
        <f t="shared" ref="D190:D224" si="1">C190-_xlfn.FORECAST.ETS.CONFINT(A190,$B$2:$B$189,$A$2:$A$189,0.95,1,1)</f>
        <v>16680104.356266005</v>
      </c>
      <c r="E190" s="8">
        <f t="shared" ref="E190:E224" si="2">C190+_xlfn.FORECAST.ETS.CONFINT(A190,$B$2:$B$189,$A$2:$A$189,0.95,1,1)</f>
        <v>16734194.612705382</v>
      </c>
    </row>
    <row r="191" spans="1:5" x14ac:dyDescent="0.35">
      <c r="A191" s="1">
        <v>44041</v>
      </c>
      <c r="C191">
        <f t="shared" si="0"/>
        <v>16933851.198887214</v>
      </c>
      <c r="D191" s="8">
        <f t="shared" si="1"/>
        <v>16875854.631865233</v>
      </c>
      <c r="E191" s="8">
        <f t="shared" si="2"/>
        <v>16991847.765909195</v>
      </c>
    </row>
    <row r="192" spans="1:5" x14ac:dyDescent="0.35">
      <c r="A192" s="1">
        <v>44042</v>
      </c>
      <c r="C192">
        <f t="shared" si="0"/>
        <v>17160552.913288735</v>
      </c>
      <c r="D192" s="8">
        <f t="shared" si="1"/>
        <v>17065254.903307766</v>
      </c>
      <c r="E192" s="8">
        <f t="shared" si="2"/>
        <v>17255850.923269704</v>
      </c>
    </row>
    <row r="193" spans="1:5" x14ac:dyDescent="0.35">
      <c r="A193" s="1">
        <v>44043</v>
      </c>
      <c r="C193">
        <f t="shared" si="0"/>
        <v>17387254.627690256</v>
      </c>
      <c r="D193" s="8">
        <f t="shared" si="1"/>
        <v>17249167.462758418</v>
      </c>
      <c r="E193" s="8">
        <f t="shared" si="2"/>
        <v>17525341.792622093</v>
      </c>
    </row>
    <row r="194" spans="1:5" x14ac:dyDescent="0.35">
      <c r="A194" s="1">
        <v>44044</v>
      </c>
      <c r="C194">
        <f t="shared" si="0"/>
        <v>17613956.342091773</v>
      </c>
      <c r="D194" s="8">
        <f t="shared" si="1"/>
        <v>17428201.222586084</v>
      </c>
      <c r="E194" s="8">
        <f t="shared" si="2"/>
        <v>17799711.461597461</v>
      </c>
    </row>
    <row r="195" spans="1:5" x14ac:dyDescent="0.35">
      <c r="A195" s="1">
        <v>44045</v>
      </c>
      <c r="C195">
        <f t="shared" si="0"/>
        <v>17840658.056493293</v>
      </c>
      <c r="D195" s="8">
        <f t="shared" si="1"/>
        <v>17602803.672434863</v>
      </c>
      <c r="E195" s="8">
        <f t="shared" si="2"/>
        <v>18078512.440551724</v>
      </c>
    </row>
    <row r="196" spans="1:5" x14ac:dyDescent="0.35">
      <c r="A196" s="1">
        <v>44046</v>
      </c>
      <c r="C196">
        <f t="shared" si="0"/>
        <v>18067359.770894814</v>
      </c>
      <c r="D196" s="8">
        <f t="shared" si="1"/>
        <v>17773319.645576622</v>
      </c>
      <c r="E196" s="8">
        <f t="shared" si="2"/>
        <v>18361399.896213006</v>
      </c>
    </row>
    <row r="197" spans="1:5" x14ac:dyDescent="0.35">
      <c r="A197" s="1">
        <v>44047</v>
      </c>
      <c r="C197">
        <f t="shared" si="0"/>
        <v>18294061.485296335</v>
      </c>
      <c r="D197" s="8">
        <f t="shared" si="1"/>
        <v>17940024.869019087</v>
      </c>
      <c r="E197" s="8">
        <f t="shared" si="2"/>
        <v>18648098.101573583</v>
      </c>
    </row>
    <row r="198" spans="1:5" x14ac:dyDescent="0.35">
      <c r="A198" s="1">
        <v>44048</v>
      </c>
      <c r="C198">
        <f t="shared" si="0"/>
        <v>18520763.199697856</v>
      </c>
      <c r="D198" s="8">
        <f t="shared" si="1"/>
        <v>18103146.152011789</v>
      </c>
      <c r="E198" s="8">
        <f t="shared" si="2"/>
        <v>18938380.247383922</v>
      </c>
    </row>
    <row r="199" spans="1:5" x14ac:dyDescent="0.35">
      <c r="A199" s="1">
        <v>44049</v>
      </c>
      <c r="C199">
        <f t="shared" si="0"/>
        <v>18747464.914099377</v>
      </c>
      <c r="D199" s="8">
        <f t="shared" si="1"/>
        <v>18262874.248429276</v>
      </c>
      <c r="E199" s="8">
        <f t="shared" si="2"/>
        <v>19232055.579769477</v>
      </c>
    </row>
    <row r="200" spans="1:5" x14ac:dyDescent="0.35">
      <c r="A200" s="1">
        <v>44050</v>
      </c>
      <c r="C200">
        <f t="shared" si="0"/>
        <v>18974166.628500897</v>
      </c>
      <c r="D200" s="8">
        <f t="shared" si="1"/>
        <v>18419372.460116588</v>
      </c>
      <c r="E200" s="8">
        <f t="shared" si="2"/>
        <v>19528960.796885207</v>
      </c>
    </row>
    <row r="201" spans="1:5" x14ac:dyDescent="0.35">
      <c r="A201" s="1">
        <v>44051</v>
      </c>
      <c r="C201">
        <f t="shared" si="0"/>
        <v>19200868.342902415</v>
      </c>
      <c r="D201" s="8">
        <f t="shared" si="1"/>
        <v>18572782.627436396</v>
      </c>
      <c r="E201" s="8">
        <f t="shared" si="2"/>
        <v>19828954.058368433</v>
      </c>
    </row>
    <row r="202" spans="1:5" x14ac:dyDescent="0.35">
      <c r="A202" s="1">
        <v>44052</v>
      </c>
      <c r="C202">
        <f t="shared" si="0"/>
        <v>19427570.057303935</v>
      </c>
      <c r="D202" s="8">
        <f t="shared" si="1"/>
        <v>18723229.441727377</v>
      </c>
      <c r="E202" s="8">
        <f t="shared" si="2"/>
        <v>20131910.672880493</v>
      </c>
    </row>
    <row r="203" spans="1:5" x14ac:dyDescent="0.35">
      <c r="A203" s="1">
        <v>44053</v>
      </c>
      <c r="C203">
        <f t="shared" si="0"/>
        <v>19654271.771705456</v>
      </c>
      <c r="D203" s="8">
        <f t="shared" si="1"/>
        <v>18870823.637489382</v>
      </c>
      <c r="E203" s="8">
        <f t="shared" si="2"/>
        <v>20437719.90592153</v>
      </c>
    </row>
    <row r="204" spans="1:5" x14ac:dyDescent="0.35">
      <c r="A204" s="1">
        <v>44054</v>
      </c>
      <c r="C204">
        <f t="shared" si="0"/>
        <v>19880973.486106977</v>
      </c>
      <c r="D204" s="8">
        <f t="shared" si="1"/>
        <v>19015664.411764976</v>
      </c>
      <c r="E204" s="8">
        <f t="shared" si="2"/>
        <v>20746282.560448978</v>
      </c>
    </row>
    <row r="205" spans="1:5" x14ac:dyDescent="0.35">
      <c r="A205" s="1">
        <v>44055</v>
      </c>
      <c r="C205">
        <f t="shared" si="0"/>
        <v>20107675.200508498</v>
      </c>
      <c r="D205" s="8">
        <f t="shared" si="1"/>
        <v>19157841.295267612</v>
      </c>
      <c r="E205" s="8">
        <f t="shared" si="2"/>
        <v>21057509.105749384</v>
      </c>
    </row>
    <row r="206" spans="1:5" x14ac:dyDescent="0.35">
      <c r="A206" s="1">
        <v>44056</v>
      </c>
      <c r="C206">
        <f t="shared" si="0"/>
        <v>20334376.914910018</v>
      </c>
      <c r="D206" s="8">
        <f t="shared" si="1"/>
        <v>19297435.625046037</v>
      </c>
      <c r="E206" s="8">
        <f t="shared" si="2"/>
        <v>21371318.204774</v>
      </c>
    </row>
    <row r="207" spans="1:5" x14ac:dyDescent="0.35">
      <c r="A207" s="1">
        <v>44057</v>
      </c>
      <c r="C207">
        <f t="shared" si="0"/>
        <v>20561078.629311539</v>
      </c>
      <c r="D207" s="8">
        <f t="shared" si="1"/>
        <v>19434521.721394334</v>
      </c>
      <c r="E207" s="8">
        <f t="shared" si="2"/>
        <v>21687635.537228744</v>
      </c>
    </row>
    <row r="208" spans="1:5" x14ac:dyDescent="0.35">
      <c r="A208" s="1">
        <v>44058</v>
      </c>
      <c r="C208">
        <f t="shared" si="0"/>
        <v>20787780.34371306</v>
      </c>
      <c r="D208" s="8">
        <f t="shared" si="1"/>
        <v>19569167.841152363</v>
      </c>
      <c r="E208" s="8">
        <f t="shared" si="2"/>
        <v>22006392.846273758</v>
      </c>
    </row>
    <row r="209" spans="1:5" x14ac:dyDescent="0.35">
      <c r="A209" s="1">
        <v>44059</v>
      </c>
      <c r="C209">
        <f t="shared" si="0"/>
        <v>21014482.058114581</v>
      </c>
      <c r="D209" s="8">
        <f t="shared" si="1"/>
        <v>19701436.959160585</v>
      </c>
      <c r="E209" s="8">
        <f t="shared" si="2"/>
        <v>22327527.157068577</v>
      </c>
    </row>
    <row r="210" spans="1:5" x14ac:dyDescent="0.35">
      <c r="A210" s="1">
        <v>44060</v>
      </c>
      <c r="C210">
        <f t="shared" si="0"/>
        <v>21241183.772516102</v>
      </c>
      <c r="D210" s="8">
        <f t="shared" si="1"/>
        <v>19831387.415716995</v>
      </c>
      <c r="E210" s="8">
        <f t="shared" si="2"/>
        <v>22650980.129315209</v>
      </c>
    </row>
    <row r="211" spans="1:5" x14ac:dyDescent="0.35">
      <c r="A211" s="1">
        <v>44061</v>
      </c>
      <c r="C211">
        <f t="shared" si="0"/>
        <v>21467885.486917619</v>
      </c>
      <c r="D211" s="8">
        <f t="shared" si="1"/>
        <v>19959073.458178934</v>
      </c>
      <c r="E211" s="8">
        <f t="shared" si="2"/>
        <v>22976697.515656304</v>
      </c>
    </row>
    <row r="212" spans="1:5" x14ac:dyDescent="0.35">
      <c r="A212" s="1">
        <v>44062</v>
      </c>
      <c r="C212">
        <f t="shared" si="0"/>
        <v>21694587.201319139</v>
      </c>
      <c r="D212" s="8">
        <f t="shared" si="1"/>
        <v>20084545.697955597</v>
      </c>
      <c r="E212" s="8">
        <f t="shared" si="2"/>
        <v>23304628.704682682</v>
      </c>
    </row>
    <row r="213" spans="1:5" x14ac:dyDescent="0.35">
      <c r="A213" s="1">
        <v>44063</v>
      </c>
      <c r="C213">
        <f t="shared" si="0"/>
        <v>21921288.91572066</v>
      </c>
      <c r="D213" s="8">
        <f t="shared" si="1"/>
        <v>20207851.499150597</v>
      </c>
      <c r="E213" s="8">
        <f t="shared" si="2"/>
        <v>23634726.332290724</v>
      </c>
    </row>
    <row r="214" spans="1:5" x14ac:dyDescent="0.35">
      <c r="A214" s="1">
        <v>44064</v>
      </c>
      <c r="C214">
        <f t="shared" si="0"/>
        <v>22147990.630122181</v>
      </c>
      <c r="D214" s="8">
        <f t="shared" si="1"/>
        <v>20329035.311453648</v>
      </c>
      <c r="E214" s="8">
        <f t="shared" si="2"/>
        <v>23966945.948790714</v>
      </c>
    </row>
    <row r="215" spans="1:5" x14ac:dyDescent="0.35">
      <c r="A215" s="1">
        <v>44065</v>
      </c>
      <c r="C215">
        <f t="shared" si="0"/>
        <v>22374692.344523702</v>
      </c>
      <c r="D215" s="8">
        <f t="shared" si="1"/>
        <v>20448138.957154859</v>
      </c>
      <c r="E215" s="8">
        <f t="shared" si="2"/>
        <v>24301245.731892545</v>
      </c>
    </row>
    <row r="216" spans="1:5" x14ac:dyDescent="0.35">
      <c r="A216" s="1">
        <v>44066</v>
      </c>
      <c r="C216">
        <f t="shared" si="0"/>
        <v>22601394.058925219</v>
      </c>
      <c r="D216" s="8">
        <f t="shared" si="1"/>
        <v>20565201.880099691</v>
      </c>
      <c r="E216" s="8">
        <f t="shared" si="2"/>
        <v>24637586.237750746</v>
      </c>
    </row>
    <row r="217" spans="1:5" x14ac:dyDescent="0.35">
      <c r="A217" s="1">
        <v>44067</v>
      </c>
      <c r="C217">
        <f t="shared" si="0"/>
        <v>22828095.77332674</v>
      </c>
      <c r="D217" s="8">
        <f t="shared" si="1"/>
        <v>20680261.362834461</v>
      </c>
      <c r="E217" s="8">
        <f t="shared" si="2"/>
        <v>24975930.183819018</v>
      </c>
    </row>
    <row r="218" spans="1:5" x14ac:dyDescent="0.35">
      <c r="A218" s="1">
        <v>44068</v>
      </c>
      <c r="C218">
        <f t="shared" si="0"/>
        <v>23054797.48772826</v>
      </c>
      <c r="D218" s="8">
        <f t="shared" si="1"/>
        <v>20793352.716982298</v>
      </c>
      <c r="E218" s="8">
        <f t="shared" si="2"/>
        <v>25316242.258474223</v>
      </c>
    </row>
    <row r="219" spans="1:5" x14ac:dyDescent="0.35">
      <c r="A219" s="1">
        <v>44069</v>
      </c>
      <c r="C219">
        <f t="shared" si="0"/>
        <v>23281499.202129781</v>
      </c>
      <c r="D219" s="8">
        <f t="shared" si="1"/>
        <v>20904509.450947125</v>
      </c>
      <c r="E219" s="8">
        <f t="shared" si="2"/>
        <v>25658488.953312438</v>
      </c>
    </row>
    <row r="220" spans="1:5" x14ac:dyDescent="0.35">
      <c r="A220" s="1">
        <v>44070</v>
      </c>
      <c r="C220">
        <f t="shared" si="0"/>
        <v>23508200.916531302</v>
      </c>
      <c r="D220" s="8">
        <f t="shared" si="1"/>
        <v>21013763.418301973</v>
      </c>
      <c r="E220" s="8">
        <f t="shared" si="2"/>
        <v>26002638.414760631</v>
      </c>
    </row>
    <row r="221" spans="1:5" x14ac:dyDescent="0.35">
      <c r="A221" s="1">
        <v>44071</v>
      </c>
      <c r="C221">
        <f t="shared" si="0"/>
        <v>23734902.630932823</v>
      </c>
      <c r="D221" s="8">
        <f t="shared" si="1"/>
        <v>21121144.949630219</v>
      </c>
      <c r="E221" s="8">
        <f t="shared" si="2"/>
        <v>26348660.312235426</v>
      </c>
    </row>
    <row r="222" spans="1:5" x14ac:dyDescent="0.35">
      <c r="A222" s="1">
        <v>44072</v>
      </c>
      <c r="C222">
        <f t="shared" si="0"/>
        <v>23961604.345334344</v>
      </c>
      <c r="D222" s="8">
        <f t="shared" si="1"/>
        <v>21226682.970118374</v>
      </c>
      <c r="E222" s="8">
        <f t="shared" si="2"/>
        <v>26696525.720550314</v>
      </c>
    </row>
    <row r="223" spans="1:5" x14ac:dyDescent="0.35">
      <c r="A223" s="1">
        <v>44073</v>
      </c>
      <c r="C223">
        <f t="shared" si="0"/>
        <v>24188306.059735864</v>
      </c>
      <c r="D223" s="8">
        <f t="shared" si="1"/>
        <v>21330405.104820594</v>
      </c>
      <c r="E223" s="8">
        <f t="shared" si="2"/>
        <v>27046207.014651135</v>
      </c>
    </row>
    <row r="224" spans="1:5" x14ac:dyDescent="0.35">
      <c r="A224" s="1">
        <v>44074</v>
      </c>
      <c r="C224" s="8">
        <f t="shared" si="0"/>
        <v>24415007.774137385</v>
      </c>
      <c r="D224" s="8">
        <f t="shared" si="1"/>
        <v>21432337.773207996</v>
      </c>
      <c r="E224" s="8">
        <f t="shared" si="2"/>
        <v>27397677.775066774</v>
      </c>
    </row>
    <row r="225" spans="1:5" x14ac:dyDescent="0.35">
      <c r="A225" s="1"/>
      <c r="B225" s="26"/>
      <c r="C225" s="26"/>
      <c r="D225" s="8"/>
      <c r="E225" s="8"/>
    </row>
    <row r="226" spans="1:5" x14ac:dyDescent="0.35">
      <c r="B226" s="2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2BCB-1E6B-4036-9273-5958EC5C2EEF}">
  <dimension ref="A1:N189"/>
  <sheetViews>
    <sheetView zoomScale="92" workbookViewId="0">
      <selection activeCell="N5" sqref="N5"/>
    </sheetView>
  </sheetViews>
  <sheetFormatPr defaultRowHeight="14.5" x14ac:dyDescent="0.35"/>
  <cols>
    <col min="1" max="1" width="10.08984375" bestFit="1" customWidth="1"/>
    <col min="2" max="2" width="9.26953125" bestFit="1" customWidth="1"/>
    <col min="3" max="3" width="6.81640625" bestFit="1" customWidth="1"/>
    <col min="4" max="4" width="9.36328125" bestFit="1" customWidth="1"/>
    <col min="5" max="5" width="7.81640625" bestFit="1" customWidth="1"/>
    <col min="6" max="6" width="9.54296875" bestFit="1" customWidth="1"/>
    <col min="7" max="7" width="10.26953125" bestFit="1" customWidth="1"/>
    <col min="8" max="8" width="12.90625" bestFit="1" customWidth="1"/>
    <col min="9" max="9" width="16.54296875" bestFit="1" customWidth="1"/>
    <col min="10" max="10" width="19.36328125" bestFit="1" customWidth="1"/>
    <col min="11" max="11" width="20.08984375" bestFit="1" customWidth="1"/>
    <col min="12" max="12" width="13.6328125" bestFit="1" customWidth="1"/>
    <col min="13" max="13" width="24.90625" bestFit="1" customWidth="1"/>
    <col min="14" max="14" width="9.81640625" bestFit="1" customWidth="1"/>
  </cols>
  <sheetData>
    <row r="1" spans="1:14" x14ac:dyDescent="0.35">
      <c r="A1" t="s">
        <v>0</v>
      </c>
      <c r="B1" t="s">
        <v>1</v>
      </c>
      <c r="C1" t="s">
        <v>2</v>
      </c>
      <c r="D1" t="s">
        <v>3</v>
      </c>
      <c r="E1" t="s">
        <v>4</v>
      </c>
      <c r="F1" t="s">
        <v>5</v>
      </c>
      <c r="G1" t="s">
        <v>6</v>
      </c>
      <c r="H1" t="s">
        <v>7</v>
      </c>
      <c r="I1" t="s">
        <v>8</v>
      </c>
      <c r="J1" t="s">
        <v>9</v>
      </c>
      <c r="K1" t="s">
        <v>10</v>
      </c>
      <c r="L1" t="s">
        <v>11</v>
      </c>
      <c r="M1" s="44" t="s">
        <v>43</v>
      </c>
      <c r="N1" s="44"/>
    </row>
    <row r="2" spans="1:14" x14ac:dyDescent="0.35">
      <c r="A2" s="1">
        <v>43852</v>
      </c>
      <c r="B2">
        <v>555</v>
      </c>
      <c r="C2">
        <v>17</v>
      </c>
      <c r="D2">
        <v>28</v>
      </c>
      <c r="E2">
        <v>510</v>
      </c>
      <c r="F2">
        <v>0</v>
      </c>
      <c r="G2">
        <v>0</v>
      </c>
      <c r="H2">
        <v>0</v>
      </c>
      <c r="I2">
        <v>3.06</v>
      </c>
      <c r="J2">
        <v>5.05</v>
      </c>
      <c r="K2">
        <v>60.71</v>
      </c>
      <c r="L2">
        <v>6</v>
      </c>
      <c r="M2" s="11" t="s">
        <v>44</v>
      </c>
      <c r="N2" s="28">
        <v>9468087</v>
      </c>
    </row>
    <row r="3" spans="1:14" x14ac:dyDescent="0.35">
      <c r="A3" s="1">
        <v>43853</v>
      </c>
      <c r="B3">
        <v>654</v>
      </c>
      <c r="C3">
        <v>18</v>
      </c>
      <c r="D3">
        <v>30</v>
      </c>
      <c r="E3">
        <v>606</v>
      </c>
      <c r="F3">
        <v>99</v>
      </c>
      <c r="G3">
        <v>1</v>
      </c>
      <c r="H3">
        <v>2</v>
      </c>
      <c r="I3">
        <v>2.75</v>
      </c>
      <c r="J3">
        <v>4.59</v>
      </c>
      <c r="K3">
        <v>60</v>
      </c>
      <c r="L3">
        <v>8</v>
      </c>
      <c r="M3" t="s">
        <v>45</v>
      </c>
      <c r="N3" s="28">
        <f>SUM(G2:G189)</f>
        <v>654019</v>
      </c>
    </row>
    <row r="4" spans="1:14" x14ac:dyDescent="0.35">
      <c r="A4" s="1">
        <v>43854</v>
      </c>
      <c r="B4">
        <v>941</v>
      </c>
      <c r="C4">
        <v>26</v>
      </c>
      <c r="D4">
        <v>36</v>
      </c>
      <c r="E4">
        <v>879</v>
      </c>
      <c r="F4">
        <v>287</v>
      </c>
      <c r="G4">
        <v>8</v>
      </c>
      <c r="H4">
        <v>6</v>
      </c>
      <c r="I4">
        <v>2.76</v>
      </c>
      <c r="J4">
        <v>3.83</v>
      </c>
      <c r="K4">
        <v>72.22</v>
      </c>
      <c r="L4">
        <v>9</v>
      </c>
      <c r="M4" t="s">
        <v>46</v>
      </c>
      <c r="N4" s="28">
        <v>16480485</v>
      </c>
    </row>
    <row r="5" spans="1:14" x14ac:dyDescent="0.35">
      <c r="A5" s="1">
        <v>43855</v>
      </c>
      <c r="B5">
        <v>1434</v>
      </c>
      <c r="C5">
        <v>42</v>
      </c>
      <c r="D5">
        <v>39</v>
      </c>
      <c r="E5">
        <v>1353</v>
      </c>
      <c r="F5">
        <v>493</v>
      </c>
      <c r="G5">
        <v>16</v>
      </c>
      <c r="H5">
        <v>3</v>
      </c>
      <c r="I5">
        <v>2.93</v>
      </c>
      <c r="J5">
        <v>2.72</v>
      </c>
      <c r="K5">
        <v>107.69</v>
      </c>
      <c r="L5">
        <v>11</v>
      </c>
      <c r="M5" t="s">
        <v>47</v>
      </c>
      <c r="N5" s="28">
        <f>SUM(E189)</f>
        <v>6358362</v>
      </c>
    </row>
    <row r="6" spans="1:14" x14ac:dyDescent="0.35">
      <c r="A6" s="1">
        <v>43856</v>
      </c>
      <c r="B6">
        <v>2118</v>
      </c>
      <c r="C6">
        <v>56</v>
      </c>
      <c r="D6">
        <v>52</v>
      </c>
      <c r="E6">
        <v>2010</v>
      </c>
      <c r="F6">
        <v>684</v>
      </c>
      <c r="G6">
        <v>14</v>
      </c>
      <c r="H6">
        <v>13</v>
      </c>
      <c r="I6">
        <v>2.64</v>
      </c>
      <c r="J6">
        <v>2.46</v>
      </c>
      <c r="K6">
        <v>107.69</v>
      </c>
      <c r="L6">
        <v>13</v>
      </c>
    </row>
    <row r="7" spans="1:14" x14ac:dyDescent="0.35">
      <c r="A7" s="1">
        <v>43857</v>
      </c>
      <c r="B7">
        <v>2927</v>
      </c>
      <c r="C7">
        <v>82</v>
      </c>
      <c r="D7">
        <v>61</v>
      </c>
      <c r="E7">
        <v>2784</v>
      </c>
      <c r="F7">
        <v>809</v>
      </c>
      <c r="G7">
        <v>26</v>
      </c>
      <c r="H7">
        <v>9</v>
      </c>
      <c r="I7">
        <v>2.8</v>
      </c>
      <c r="J7">
        <v>2.08</v>
      </c>
      <c r="K7">
        <v>134.43</v>
      </c>
      <c r="L7">
        <v>16</v>
      </c>
    </row>
    <row r="8" spans="1:14" x14ac:dyDescent="0.35">
      <c r="A8" s="1">
        <v>43858</v>
      </c>
      <c r="B8">
        <v>5578</v>
      </c>
      <c r="C8">
        <v>131</v>
      </c>
      <c r="D8">
        <v>107</v>
      </c>
      <c r="E8">
        <v>5340</v>
      </c>
      <c r="F8">
        <v>2651</v>
      </c>
      <c r="G8">
        <v>49</v>
      </c>
      <c r="H8">
        <v>46</v>
      </c>
      <c r="I8">
        <v>2.35</v>
      </c>
      <c r="J8">
        <v>1.92</v>
      </c>
      <c r="K8">
        <v>122.43</v>
      </c>
      <c r="L8">
        <v>16</v>
      </c>
    </row>
    <row r="9" spans="1:14" x14ac:dyDescent="0.35">
      <c r="A9" s="1">
        <v>43859</v>
      </c>
      <c r="B9">
        <v>6166</v>
      </c>
      <c r="C9">
        <v>133</v>
      </c>
      <c r="D9">
        <v>125</v>
      </c>
      <c r="E9">
        <v>5908</v>
      </c>
      <c r="F9">
        <v>588</v>
      </c>
      <c r="G9">
        <v>2</v>
      </c>
      <c r="H9">
        <v>18</v>
      </c>
      <c r="I9">
        <v>2.16</v>
      </c>
      <c r="J9">
        <v>2.0299999999999998</v>
      </c>
      <c r="K9">
        <v>106.4</v>
      </c>
      <c r="L9">
        <v>18</v>
      </c>
    </row>
    <row r="10" spans="1:14" x14ac:dyDescent="0.35">
      <c r="A10" s="1">
        <v>43860</v>
      </c>
      <c r="B10">
        <v>8234</v>
      </c>
      <c r="C10">
        <v>171</v>
      </c>
      <c r="D10">
        <v>141</v>
      </c>
      <c r="E10">
        <v>7922</v>
      </c>
      <c r="F10">
        <v>2068</v>
      </c>
      <c r="G10">
        <v>38</v>
      </c>
      <c r="H10">
        <v>16</v>
      </c>
      <c r="I10">
        <v>2.08</v>
      </c>
      <c r="J10">
        <v>1.71</v>
      </c>
      <c r="K10">
        <v>121.28</v>
      </c>
      <c r="L10">
        <v>20</v>
      </c>
    </row>
    <row r="11" spans="1:14" x14ac:dyDescent="0.35">
      <c r="A11" s="1">
        <v>43861</v>
      </c>
      <c r="B11">
        <v>9927</v>
      </c>
      <c r="C11">
        <v>213</v>
      </c>
      <c r="D11">
        <v>219</v>
      </c>
      <c r="E11">
        <v>9495</v>
      </c>
      <c r="F11">
        <v>1693</v>
      </c>
      <c r="G11">
        <v>42</v>
      </c>
      <c r="H11">
        <v>78</v>
      </c>
      <c r="I11">
        <v>2.15</v>
      </c>
      <c r="J11">
        <v>2.21</v>
      </c>
      <c r="K11">
        <v>97.26</v>
      </c>
      <c r="L11">
        <v>24</v>
      </c>
    </row>
    <row r="12" spans="1:14" x14ac:dyDescent="0.35">
      <c r="A12" s="1">
        <v>43862</v>
      </c>
      <c r="B12">
        <v>12038</v>
      </c>
      <c r="C12">
        <v>259</v>
      </c>
      <c r="D12">
        <v>281</v>
      </c>
      <c r="E12">
        <v>11498</v>
      </c>
      <c r="F12">
        <v>2111</v>
      </c>
      <c r="G12">
        <v>46</v>
      </c>
      <c r="H12">
        <v>62</v>
      </c>
      <c r="I12">
        <v>2.15</v>
      </c>
      <c r="J12">
        <v>2.33</v>
      </c>
      <c r="K12">
        <v>92.17</v>
      </c>
      <c r="L12">
        <v>25</v>
      </c>
    </row>
    <row r="13" spans="1:14" x14ac:dyDescent="0.35">
      <c r="A13" s="1">
        <v>43863</v>
      </c>
      <c r="B13">
        <v>16787</v>
      </c>
      <c r="C13">
        <v>362</v>
      </c>
      <c r="D13">
        <v>459</v>
      </c>
      <c r="E13">
        <v>15966</v>
      </c>
      <c r="F13">
        <v>4749</v>
      </c>
      <c r="G13">
        <v>103</v>
      </c>
      <c r="H13">
        <v>178</v>
      </c>
      <c r="I13">
        <v>2.16</v>
      </c>
      <c r="J13">
        <v>2.73</v>
      </c>
      <c r="K13">
        <v>78.87</v>
      </c>
      <c r="L13">
        <v>25</v>
      </c>
    </row>
    <row r="14" spans="1:14" x14ac:dyDescent="0.35">
      <c r="A14" s="1">
        <v>43864</v>
      </c>
      <c r="B14">
        <v>19887</v>
      </c>
      <c r="C14">
        <v>426</v>
      </c>
      <c r="D14">
        <v>604</v>
      </c>
      <c r="E14">
        <v>18857</v>
      </c>
      <c r="F14">
        <v>3100</v>
      </c>
      <c r="G14">
        <v>64</v>
      </c>
      <c r="H14">
        <v>145</v>
      </c>
      <c r="I14">
        <v>2.14</v>
      </c>
      <c r="J14">
        <v>3.04</v>
      </c>
      <c r="K14">
        <v>70.53</v>
      </c>
      <c r="L14">
        <v>25</v>
      </c>
    </row>
    <row r="15" spans="1:14" x14ac:dyDescent="0.35">
      <c r="A15" s="1">
        <v>43865</v>
      </c>
      <c r="B15">
        <v>23898</v>
      </c>
      <c r="C15">
        <v>492</v>
      </c>
      <c r="D15">
        <v>821</v>
      </c>
      <c r="E15">
        <v>22585</v>
      </c>
      <c r="F15">
        <v>4011</v>
      </c>
      <c r="G15">
        <v>66</v>
      </c>
      <c r="H15">
        <v>217</v>
      </c>
      <c r="I15">
        <v>2.06</v>
      </c>
      <c r="J15">
        <v>3.44</v>
      </c>
      <c r="K15">
        <v>59.93</v>
      </c>
      <c r="L15">
        <v>26</v>
      </c>
    </row>
    <row r="16" spans="1:14" x14ac:dyDescent="0.35">
      <c r="A16" s="1">
        <v>43866</v>
      </c>
      <c r="B16">
        <v>27643</v>
      </c>
      <c r="C16">
        <v>564</v>
      </c>
      <c r="D16">
        <v>1071</v>
      </c>
      <c r="E16">
        <v>26008</v>
      </c>
      <c r="F16">
        <v>3745</v>
      </c>
      <c r="G16">
        <v>72</v>
      </c>
      <c r="H16">
        <v>250</v>
      </c>
      <c r="I16">
        <v>2.04</v>
      </c>
      <c r="J16">
        <v>3.87</v>
      </c>
      <c r="K16">
        <v>52.66</v>
      </c>
      <c r="L16">
        <v>26</v>
      </c>
    </row>
    <row r="17" spans="1:12" x14ac:dyDescent="0.35">
      <c r="A17" s="1">
        <v>43867</v>
      </c>
      <c r="B17">
        <v>30802</v>
      </c>
      <c r="C17">
        <v>634</v>
      </c>
      <c r="D17">
        <v>1418</v>
      </c>
      <c r="E17">
        <v>28750</v>
      </c>
      <c r="F17">
        <v>3159</v>
      </c>
      <c r="G17">
        <v>70</v>
      </c>
      <c r="H17">
        <v>347</v>
      </c>
      <c r="I17">
        <v>2.06</v>
      </c>
      <c r="J17">
        <v>4.5999999999999996</v>
      </c>
      <c r="K17">
        <v>44.71</v>
      </c>
      <c r="L17">
        <v>26</v>
      </c>
    </row>
    <row r="18" spans="1:12" x14ac:dyDescent="0.35">
      <c r="A18" s="1">
        <v>43868</v>
      </c>
      <c r="B18">
        <v>34334</v>
      </c>
      <c r="C18">
        <v>719</v>
      </c>
      <c r="D18">
        <v>1903</v>
      </c>
      <c r="E18">
        <v>31712</v>
      </c>
      <c r="F18">
        <v>3532</v>
      </c>
      <c r="G18">
        <v>85</v>
      </c>
      <c r="H18">
        <v>485</v>
      </c>
      <c r="I18">
        <v>2.09</v>
      </c>
      <c r="J18">
        <v>5.54</v>
      </c>
      <c r="K18">
        <v>37.78</v>
      </c>
      <c r="L18">
        <v>26</v>
      </c>
    </row>
    <row r="19" spans="1:12" x14ac:dyDescent="0.35">
      <c r="A19" s="1">
        <v>43869</v>
      </c>
      <c r="B19">
        <v>37068</v>
      </c>
      <c r="C19">
        <v>806</v>
      </c>
      <c r="D19">
        <v>2470</v>
      </c>
      <c r="E19">
        <v>33792</v>
      </c>
      <c r="F19">
        <v>2734</v>
      </c>
      <c r="G19">
        <v>87</v>
      </c>
      <c r="H19">
        <v>567</v>
      </c>
      <c r="I19">
        <v>2.17</v>
      </c>
      <c r="J19">
        <v>6.66</v>
      </c>
      <c r="K19">
        <v>32.630000000000003</v>
      </c>
      <c r="L19">
        <v>26</v>
      </c>
    </row>
    <row r="20" spans="1:12" x14ac:dyDescent="0.35">
      <c r="A20" s="1">
        <v>43870</v>
      </c>
      <c r="B20">
        <v>40095</v>
      </c>
      <c r="C20">
        <v>906</v>
      </c>
      <c r="D20">
        <v>3057</v>
      </c>
      <c r="E20">
        <v>36132</v>
      </c>
      <c r="F20">
        <v>3027</v>
      </c>
      <c r="G20">
        <v>100</v>
      </c>
      <c r="H20">
        <v>587</v>
      </c>
      <c r="I20">
        <v>2.2599999999999998</v>
      </c>
      <c r="J20">
        <v>7.62</v>
      </c>
      <c r="K20">
        <v>29.64</v>
      </c>
      <c r="L20">
        <v>26</v>
      </c>
    </row>
    <row r="21" spans="1:12" x14ac:dyDescent="0.35">
      <c r="A21" s="1">
        <v>43871</v>
      </c>
      <c r="B21">
        <v>42633</v>
      </c>
      <c r="C21">
        <v>1013</v>
      </c>
      <c r="D21">
        <v>3714</v>
      </c>
      <c r="E21">
        <v>37906</v>
      </c>
      <c r="F21">
        <v>2538</v>
      </c>
      <c r="G21">
        <v>107</v>
      </c>
      <c r="H21">
        <v>657</v>
      </c>
      <c r="I21">
        <v>2.38</v>
      </c>
      <c r="J21">
        <v>8.7100000000000009</v>
      </c>
      <c r="K21">
        <v>27.28</v>
      </c>
      <c r="L21">
        <v>26</v>
      </c>
    </row>
    <row r="22" spans="1:12" x14ac:dyDescent="0.35">
      <c r="A22" s="1">
        <v>43872</v>
      </c>
      <c r="B22">
        <v>44675</v>
      </c>
      <c r="C22">
        <v>1113</v>
      </c>
      <c r="D22">
        <v>4417</v>
      </c>
      <c r="E22">
        <v>39145</v>
      </c>
      <c r="F22">
        <v>2042</v>
      </c>
      <c r="G22">
        <v>100</v>
      </c>
      <c r="H22">
        <v>703</v>
      </c>
      <c r="I22">
        <v>2.4900000000000002</v>
      </c>
      <c r="J22">
        <v>9.89</v>
      </c>
      <c r="K22">
        <v>25.2</v>
      </c>
      <c r="L22">
        <v>26</v>
      </c>
    </row>
    <row r="23" spans="1:12" x14ac:dyDescent="0.35">
      <c r="A23" s="1">
        <v>43873</v>
      </c>
      <c r="B23">
        <v>46561</v>
      </c>
      <c r="C23">
        <v>1118</v>
      </c>
      <c r="D23">
        <v>4849</v>
      </c>
      <c r="E23">
        <v>40594</v>
      </c>
      <c r="F23">
        <v>1886</v>
      </c>
      <c r="G23">
        <v>5</v>
      </c>
      <c r="H23">
        <v>432</v>
      </c>
      <c r="I23">
        <v>2.4</v>
      </c>
      <c r="J23">
        <v>10.41</v>
      </c>
      <c r="K23">
        <v>23.06</v>
      </c>
      <c r="L23">
        <v>26</v>
      </c>
    </row>
    <row r="24" spans="1:12" x14ac:dyDescent="0.35">
      <c r="A24" s="1">
        <v>43874</v>
      </c>
      <c r="B24">
        <v>60206</v>
      </c>
      <c r="C24">
        <v>1371</v>
      </c>
      <c r="D24">
        <v>5930</v>
      </c>
      <c r="E24">
        <v>52905</v>
      </c>
      <c r="F24">
        <v>13645</v>
      </c>
      <c r="G24">
        <v>253</v>
      </c>
      <c r="H24">
        <v>1081</v>
      </c>
      <c r="I24">
        <v>2.2799999999999998</v>
      </c>
      <c r="J24">
        <v>9.85</v>
      </c>
      <c r="K24">
        <v>23.12</v>
      </c>
      <c r="L24">
        <v>26</v>
      </c>
    </row>
    <row r="25" spans="1:12" x14ac:dyDescent="0.35">
      <c r="A25" s="1">
        <v>43875</v>
      </c>
      <c r="B25">
        <v>66690</v>
      </c>
      <c r="C25">
        <v>1523</v>
      </c>
      <c r="D25">
        <v>7613</v>
      </c>
      <c r="E25">
        <v>57554</v>
      </c>
      <c r="F25">
        <v>6484</v>
      </c>
      <c r="G25">
        <v>152</v>
      </c>
      <c r="H25">
        <v>1683</v>
      </c>
      <c r="I25">
        <v>2.2799999999999998</v>
      </c>
      <c r="J25">
        <v>11.42</v>
      </c>
      <c r="K25">
        <v>20.010000000000002</v>
      </c>
      <c r="L25">
        <v>27</v>
      </c>
    </row>
    <row r="26" spans="1:12" x14ac:dyDescent="0.35">
      <c r="A26" s="1">
        <v>43876</v>
      </c>
      <c r="B26">
        <v>68765</v>
      </c>
      <c r="C26">
        <v>1666</v>
      </c>
      <c r="D26">
        <v>8902</v>
      </c>
      <c r="E26">
        <v>58197</v>
      </c>
      <c r="F26">
        <v>2075</v>
      </c>
      <c r="G26">
        <v>143</v>
      </c>
      <c r="H26">
        <v>1289</v>
      </c>
      <c r="I26">
        <v>2.42</v>
      </c>
      <c r="J26">
        <v>12.95</v>
      </c>
      <c r="K26">
        <v>18.71</v>
      </c>
      <c r="L26">
        <v>27</v>
      </c>
    </row>
    <row r="27" spans="1:12" x14ac:dyDescent="0.35">
      <c r="A27" s="1">
        <v>43877</v>
      </c>
      <c r="B27">
        <v>70879</v>
      </c>
      <c r="C27">
        <v>1770</v>
      </c>
      <c r="D27">
        <v>10319</v>
      </c>
      <c r="E27">
        <v>58790</v>
      </c>
      <c r="F27">
        <v>2114</v>
      </c>
      <c r="G27">
        <v>104</v>
      </c>
      <c r="H27">
        <v>1417</v>
      </c>
      <c r="I27">
        <v>2.5</v>
      </c>
      <c r="J27">
        <v>14.56</v>
      </c>
      <c r="K27">
        <v>17.149999999999999</v>
      </c>
      <c r="L27">
        <v>27</v>
      </c>
    </row>
    <row r="28" spans="1:12" x14ac:dyDescent="0.35">
      <c r="A28" s="1">
        <v>43878</v>
      </c>
      <c r="B28">
        <v>72815</v>
      </c>
      <c r="C28">
        <v>1868</v>
      </c>
      <c r="D28">
        <v>11951</v>
      </c>
      <c r="E28">
        <v>58996</v>
      </c>
      <c r="F28">
        <v>1936</v>
      </c>
      <c r="G28">
        <v>98</v>
      </c>
      <c r="H28">
        <v>1632</v>
      </c>
      <c r="I28">
        <v>2.57</v>
      </c>
      <c r="J28">
        <v>16.41</v>
      </c>
      <c r="K28">
        <v>15.63</v>
      </c>
      <c r="L28">
        <v>27</v>
      </c>
    </row>
    <row r="29" spans="1:12" x14ac:dyDescent="0.35">
      <c r="A29" s="1">
        <v>43879</v>
      </c>
      <c r="B29">
        <v>74609</v>
      </c>
      <c r="C29">
        <v>2008</v>
      </c>
      <c r="D29">
        <v>13693</v>
      </c>
      <c r="E29">
        <v>58908</v>
      </c>
      <c r="F29">
        <v>1794</v>
      </c>
      <c r="G29">
        <v>140</v>
      </c>
      <c r="H29">
        <v>1742</v>
      </c>
      <c r="I29">
        <v>2.69</v>
      </c>
      <c r="J29">
        <v>18.350000000000001</v>
      </c>
      <c r="K29">
        <v>14.66</v>
      </c>
      <c r="L29">
        <v>27</v>
      </c>
    </row>
    <row r="30" spans="1:12" x14ac:dyDescent="0.35">
      <c r="A30" s="1">
        <v>43880</v>
      </c>
      <c r="B30">
        <v>75030</v>
      </c>
      <c r="C30">
        <v>2123</v>
      </c>
      <c r="D30">
        <v>15394</v>
      </c>
      <c r="E30">
        <v>57513</v>
      </c>
      <c r="F30">
        <v>421</v>
      </c>
      <c r="G30">
        <v>115</v>
      </c>
      <c r="H30">
        <v>1701</v>
      </c>
      <c r="I30">
        <v>2.83</v>
      </c>
      <c r="J30">
        <v>20.52</v>
      </c>
      <c r="K30">
        <v>13.79</v>
      </c>
      <c r="L30">
        <v>28</v>
      </c>
    </row>
    <row r="31" spans="1:12" x14ac:dyDescent="0.35">
      <c r="A31" s="1">
        <v>43881</v>
      </c>
      <c r="B31">
        <v>75577</v>
      </c>
      <c r="C31">
        <v>2246</v>
      </c>
      <c r="D31">
        <v>17369</v>
      </c>
      <c r="E31">
        <v>55962</v>
      </c>
      <c r="F31">
        <v>547</v>
      </c>
      <c r="G31">
        <v>123</v>
      </c>
      <c r="H31">
        <v>1975</v>
      </c>
      <c r="I31">
        <v>2.97</v>
      </c>
      <c r="J31">
        <v>22.98</v>
      </c>
      <c r="K31">
        <v>12.93</v>
      </c>
      <c r="L31">
        <v>28</v>
      </c>
    </row>
    <row r="32" spans="1:12" x14ac:dyDescent="0.35">
      <c r="A32" s="1">
        <v>43882</v>
      </c>
      <c r="B32">
        <v>76206</v>
      </c>
      <c r="C32">
        <v>2250</v>
      </c>
      <c r="D32">
        <v>17966</v>
      </c>
      <c r="E32">
        <v>55990</v>
      </c>
      <c r="F32">
        <v>629</v>
      </c>
      <c r="G32">
        <v>4</v>
      </c>
      <c r="H32">
        <v>597</v>
      </c>
      <c r="I32">
        <v>2.95</v>
      </c>
      <c r="J32">
        <v>23.58</v>
      </c>
      <c r="K32">
        <v>12.52</v>
      </c>
      <c r="L32">
        <v>30</v>
      </c>
    </row>
    <row r="33" spans="1:12" x14ac:dyDescent="0.35">
      <c r="A33" s="1">
        <v>43883</v>
      </c>
      <c r="B33">
        <v>77967</v>
      </c>
      <c r="C33">
        <v>2457</v>
      </c>
      <c r="D33">
        <v>21849</v>
      </c>
      <c r="E33">
        <v>53661</v>
      </c>
      <c r="F33">
        <v>1761</v>
      </c>
      <c r="G33">
        <v>207</v>
      </c>
      <c r="H33">
        <v>3883</v>
      </c>
      <c r="I33">
        <v>3.15</v>
      </c>
      <c r="J33">
        <v>28.02</v>
      </c>
      <c r="K33">
        <v>11.25</v>
      </c>
      <c r="L33">
        <v>30</v>
      </c>
    </row>
    <row r="34" spans="1:12" x14ac:dyDescent="0.35">
      <c r="A34" s="1">
        <v>43884</v>
      </c>
      <c r="B34">
        <v>78290</v>
      </c>
      <c r="C34">
        <v>2467</v>
      </c>
      <c r="D34">
        <v>22304</v>
      </c>
      <c r="E34">
        <v>53519</v>
      </c>
      <c r="F34">
        <v>323</v>
      </c>
      <c r="G34">
        <v>10</v>
      </c>
      <c r="H34">
        <v>455</v>
      </c>
      <c r="I34">
        <v>3.15</v>
      </c>
      <c r="J34">
        <v>28.49</v>
      </c>
      <c r="K34">
        <v>11.06</v>
      </c>
      <c r="L34">
        <v>31</v>
      </c>
    </row>
    <row r="35" spans="1:12" x14ac:dyDescent="0.35">
      <c r="A35" s="1">
        <v>43885</v>
      </c>
      <c r="B35">
        <v>78854</v>
      </c>
      <c r="C35">
        <v>2627</v>
      </c>
      <c r="D35">
        <v>24047</v>
      </c>
      <c r="E35">
        <v>52180</v>
      </c>
      <c r="F35">
        <v>564</v>
      </c>
      <c r="G35">
        <v>160</v>
      </c>
      <c r="H35">
        <v>1743</v>
      </c>
      <c r="I35">
        <v>3.33</v>
      </c>
      <c r="J35">
        <v>30.5</v>
      </c>
      <c r="K35">
        <v>10.92</v>
      </c>
      <c r="L35">
        <v>36</v>
      </c>
    </row>
    <row r="36" spans="1:12" x14ac:dyDescent="0.35">
      <c r="A36" s="1">
        <v>43886</v>
      </c>
      <c r="B36">
        <v>79707</v>
      </c>
      <c r="C36">
        <v>2707</v>
      </c>
      <c r="D36">
        <v>26652</v>
      </c>
      <c r="E36">
        <v>50348</v>
      </c>
      <c r="F36">
        <v>853</v>
      </c>
      <c r="G36">
        <v>80</v>
      </c>
      <c r="H36">
        <v>2605</v>
      </c>
      <c r="I36">
        <v>3.4</v>
      </c>
      <c r="J36">
        <v>33.44</v>
      </c>
      <c r="K36">
        <v>10.16</v>
      </c>
      <c r="L36">
        <v>41</v>
      </c>
    </row>
    <row r="37" spans="1:12" x14ac:dyDescent="0.35">
      <c r="A37" s="1">
        <v>43887</v>
      </c>
      <c r="B37">
        <v>80670</v>
      </c>
      <c r="C37">
        <v>2767</v>
      </c>
      <c r="D37">
        <v>29077</v>
      </c>
      <c r="E37">
        <v>48826</v>
      </c>
      <c r="F37">
        <v>963</v>
      </c>
      <c r="G37">
        <v>60</v>
      </c>
      <c r="H37">
        <v>2425</v>
      </c>
      <c r="I37">
        <v>3.43</v>
      </c>
      <c r="J37">
        <v>36.04</v>
      </c>
      <c r="K37">
        <v>9.52</v>
      </c>
      <c r="L37">
        <v>47</v>
      </c>
    </row>
    <row r="38" spans="1:12" x14ac:dyDescent="0.35">
      <c r="A38" s="1">
        <v>43888</v>
      </c>
      <c r="B38">
        <v>82034</v>
      </c>
      <c r="C38">
        <v>2810</v>
      </c>
      <c r="D38">
        <v>31919</v>
      </c>
      <c r="E38">
        <v>47305</v>
      </c>
      <c r="F38">
        <v>1364</v>
      </c>
      <c r="G38">
        <v>43</v>
      </c>
      <c r="H38">
        <v>2842</v>
      </c>
      <c r="I38">
        <v>3.43</v>
      </c>
      <c r="J38">
        <v>38.909999999999997</v>
      </c>
      <c r="K38">
        <v>8.8000000000000007</v>
      </c>
      <c r="L38">
        <v>51</v>
      </c>
    </row>
    <row r="39" spans="1:12" x14ac:dyDescent="0.35">
      <c r="A39" s="1">
        <v>43889</v>
      </c>
      <c r="B39">
        <v>83411</v>
      </c>
      <c r="C39">
        <v>2867</v>
      </c>
      <c r="D39">
        <v>35306</v>
      </c>
      <c r="E39">
        <v>45238</v>
      </c>
      <c r="F39">
        <v>1377</v>
      </c>
      <c r="G39">
        <v>57</v>
      </c>
      <c r="H39">
        <v>3387</v>
      </c>
      <c r="I39">
        <v>3.44</v>
      </c>
      <c r="J39">
        <v>42.33</v>
      </c>
      <c r="K39">
        <v>8.1199999999999992</v>
      </c>
      <c r="L39">
        <v>57</v>
      </c>
    </row>
    <row r="40" spans="1:12" x14ac:dyDescent="0.35">
      <c r="A40" s="1">
        <v>43890</v>
      </c>
      <c r="B40">
        <v>85306</v>
      </c>
      <c r="C40">
        <v>2936</v>
      </c>
      <c r="D40">
        <v>38314</v>
      </c>
      <c r="E40">
        <v>44056</v>
      </c>
      <c r="F40">
        <v>1895</v>
      </c>
      <c r="G40">
        <v>69</v>
      </c>
      <c r="H40">
        <v>3008</v>
      </c>
      <c r="I40">
        <v>3.44</v>
      </c>
      <c r="J40">
        <v>44.91</v>
      </c>
      <c r="K40">
        <v>7.66</v>
      </c>
      <c r="L40">
        <v>61</v>
      </c>
    </row>
    <row r="41" spans="1:12" x14ac:dyDescent="0.35">
      <c r="A41" s="1">
        <v>43891</v>
      </c>
      <c r="B41">
        <v>87690</v>
      </c>
      <c r="C41">
        <v>2990</v>
      </c>
      <c r="D41">
        <v>41208</v>
      </c>
      <c r="E41">
        <v>43492</v>
      </c>
      <c r="F41">
        <v>2384</v>
      </c>
      <c r="G41">
        <v>54</v>
      </c>
      <c r="H41">
        <v>2894</v>
      </c>
      <c r="I41">
        <v>3.41</v>
      </c>
      <c r="J41">
        <v>46.99</v>
      </c>
      <c r="K41">
        <v>7.26</v>
      </c>
      <c r="L41">
        <v>66</v>
      </c>
    </row>
    <row r="42" spans="1:12" x14ac:dyDescent="0.35">
      <c r="A42" s="1">
        <v>43892</v>
      </c>
      <c r="B42">
        <v>89664</v>
      </c>
      <c r="C42">
        <v>3079</v>
      </c>
      <c r="D42">
        <v>44085</v>
      </c>
      <c r="E42">
        <v>42500</v>
      </c>
      <c r="F42">
        <v>1974</v>
      </c>
      <c r="G42">
        <v>89</v>
      </c>
      <c r="H42">
        <v>2877</v>
      </c>
      <c r="I42">
        <v>3.43</v>
      </c>
      <c r="J42">
        <v>49.17</v>
      </c>
      <c r="K42">
        <v>6.98</v>
      </c>
      <c r="L42">
        <v>73</v>
      </c>
    </row>
    <row r="43" spans="1:12" x14ac:dyDescent="0.35">
      <c r="A43" s="1">
        <v>43893</v>
      </c>
      <c r="B43">
        <v>92241</v>
      </c>
      <c r="C43">
        <v>3154</v>
      </c>
      <c r="D43">
        <v>46681</v>
      </c>
      <c r="E43">
        <v>42406</v>
      </c>
      <c r="F43">
        <v>2577</v>
      </c>
      <c r="G43">
        <v>75</v>
      </c>
      <c r="H43">
        <v>2596</v>
      </c>
      <c r="I43">
        <v>3.42</v>
      </c>
      <c r="J43">
        <v>50.61</v>
      </c>
      <c r="K43">
        <v>6.76</v>
      </c>
      <c r="L43">
        <v>76</v>
      </c>
    </row>
    <row r="44" spans="1:12" x14ac:dyDescent="0.35">
      <c r="A44" s="1">
        <v>43894</v>
      </c>
      <c r="B44">
        <v>94540</v>
      </c>
      <c r="C44">
        <v>3249</v>
      </c>
      <c r="D44">
        <v>49619</v>
      </c>
      <c r="E44">
        <v>41672</v>
      </c>
      <c r="F44">
        <v>2299</v>
      </c>
      <c r="G44">
        <v>95</v>
      </c>
      <c r="H44">
        <v>2938</v>
      </c>
      <c r="I44">
        <v>3.44</v>
      </c>
      <c r="J44">
        <v>52.48</v>
      </c>
      <c r="K44">
        <v>6.55</v>
      </c>
      <c r="L44">
        <v>80</v>
      </c>
    </row>
    <row r="45" spans="1:12" x14ac:dyDescent="0.35">
      <c r="A45" s="1">
        <v>43895</v>
      </c>
      <c r="B45">
        <v>97331</v>
      </c>
      <c r="C45">
        <v>3342</v>
      </c>
      <c r="D45">
        <v>52237</v>
      </c>
      <c r="E45">
        <v>41752</v>
      </c>
      <c r="F45">
        <v>2791</v>
      </c>
      <c r="G45">
        <v>93</v>
      </c>
      <c r="H45">
        <v>2618</v>
      </c>
      <c r="I45">
        <v>3.43</v>
      </c>
      <c r="J45">
        <v>53.67</v>
      </c>
      <c r="K45">
        <v>6.4</v>
      </c>
      <c r="L45">
        <v>84</v>
      </c>
    </row>
    <row r="46" spans="1:12" x14ac:dyDescent="0.35">
      <c r="A46" s="1">
        <v>43896</v>
      </c>
      <c r="B46">
        <v>101274</v>
      </c>
      <c r="C46">
        <v>3454</v>
      </c>
      <c r="D46">
        <v>54270</v>
      </c>
      <c r="E46">
        <v>43550</v>
      </c>
      <c r="F46">
        <v>3943</v>
      </c>
      <c r="G46">
        <v>112</v>
      </c>
      <c r="H46">
        <v>2033</v>
      </c>
      <c r="I46">
        <v>3.41</v>
      </c>
      <c r="J46">
        <v>53.59</v>
      </c>
      <c r="K46">
        <v>6.36</v>
      </c>
      <c r="L46">
        <v>93</v>
      </c>
    </row>
    <row r="47" spans="1:12" x14ac:dyDescent="0.35">
      <c r="A47" s="1">
        <v>43897</v>
      </c>
      <c r="B47">
        <v>105312</v>
      </c>
      <c r="C47">
        <v>3553</v>
      </c>
      <c r="D47">
        <v>56760</v>
      </c>
      <c r="E47">
        <v>44999</v>
      </c>
      <c r="F47">
        <v>4038</v>
      </c>
      <c r="G47">
        <v>99</v>
      </c>
      <c r="H47">
        <v>2490</v>
      </c>
      <c r="I47">
        <v>3.37</v>
      </c>
      <c r="J47">
        <v>53.9</v>
      </c>
      <c r="K47">
        <v>6.26</v>
      </c>
      <c r="L47">
        <v>94</v>
      </c>
    </row>
    <row r="48" spans="1:12" x14ac:dyDescent="0.35">
      <c r="A48" s="1">
        <v>43898</v>
      </c>
      <c r="B48">
        <v>109266</v>
      </c>
      <c r="C48">
        <v>3797</v>
      </c>
      <c r="D48">
        <v>59092</v>
      </c>
      <c r="E48">
        <v>46377</v>
      </c>
      <c r="F48">
        <v>3954</v>
      </c>
      <c r="G48">
        <v>244</v>
      </c>
      <c r="H48">
        <v>2332</v>
      </c>
      <c r="I48">
        <v>3.48</v>
      </c>
      <c r="J48">
        <v>54.08</v>
      </c>
      <c r="K48">
        <v>6.43</v>
      </c>
      <c r="L48">
        <v>99</v>
      </c>
    </row>
    <row r="49" spans="1:12" x14ac:dyDescent="0.35">
      <c r="A49" s="1">
        <v>43899</v>
      </c>
      <c r="B49">
        <v>113166</v>
      </c>
      <c r="C49">
        <v>3981</v>
      </c>
      <c r="D49">
        <v>60891</v>
      </c>
      <c r="E49">
        <v>48294</v>
      </c>
      <c r="F49">
        <v>3900</v>
      </c>
      <c r="G49">
        <v>184</v>
      </c>
      <c r="H49">
        <v>1799</v>
      </c>
      <c r="I49">
        <v>3.52</v>
      </c>
      <c r="J49">
        <v>53.81</v>
      </c>
      <c r="K49">
        <v>6.54</v>
      </c>
      <c r="L49">
        <v>102</v>
      </c>
    </row>
    <row r="50" spans="1:12" x14ac:dyDescent="0.35">
      <c r="A50" s="1">
        <v>43900</v>
      </c>
      <c r="B50">
        <v>118190</v>
      </c>
      <c r="C50">
        <v>4260</v>
      </c>
      <c r="D50">
        <v>62802</v>
      </c>
      <c r="E50">
        <v>51128</v>
      </c>
      <c r="F50">
        <v>5024</v>
      </c>
      <c r="G50">
        <v>279</v>
      </c>
      <c r="H50">
        <v>1911</v>
      </c>
      <c r="I50">
        <v>3.6</v>
      </c>
      <c r="J50">
        <v>53.14</v>
      </c>
      <c r="K50">
        <v>6.78</v>
      </c>
      <c r="L50">
        <v>105</v>
      </c>
    </row>
    <row r="51" spans="1:12" x14ac:dyDescent="0.35">
      <c r="A51" s="1">
        <v>43901</v>
      </c>
      <c r="B51">
        <v>125853</v>
      </c>
      <c r="C51">
        <v>4604</v>
      </c>
      <c r="D51">
        <v>65113</v>
      </c>
      <c r="E51">
        <v>56136</v>
      </c>
      <c r="F51">
        <v>7663</v>
      </c>
      <c r="G51">
        <v>344</v>
      </c>
      <c r="H51">
        <v>2311</v>
      </c>
      <c r="I51">
        <v>3.66</v>
      </c>
      <c r="J51">
        <v>51.74</v>
      </c>
      <c r="K51">
        <v>7.07</v>
      </c>
      <c r="L51">
        <v>111</v>
      </c>
    </row>
    <row r="52" spans="1:12" x14ac:dyDescent="0.35">
      <c r="A52" s="1">
        <v>43902</v>
      </c>
      <c r="B52">
        <v>131603</v>
      </c>
      <c r="C52">
        <v>4909</v>
      </c>
      <c r="D52">
        <v>66434</v>
      </c>
      <c r="E52">
        <v>60260</v>
      </c>
      <c r="F52">
        <v>5750</v>
      </c>
      <c r="G52">
        <v>305</v>
      </c>
      <c r="H52">
        <v>1321</v>
      </c>
      <c r="I52">
        <v>3.73</v>
      </c>
      <c r="J52">
        <v>50.48</v>
      </c>
      <c r="K52">
        <v>7.39</v>
      </c>
      <c r="L52">
        <v>113</v>
      </c>
    </row>
    <row r="53" spans="1:12" x14ac:dyDescent="0.35">
      <c r="A53" s="1">
        <v>43903</v>
      </c>
      <c r="B53">
        <v>146008</v>
      </c>
      <c r="C53">
        <v>5406</v>
      </c>
      <c r="D53">
        <v>68359</v>
      </c>
      <c r="E53">
        <v>72243</v>
      </c>
      <c r="F53">
        <v>14405</v>
      </c>
      <c r="G53">
        <v>497</v>
      </c>
      <c r="H53">
        <v>1925</v>
      </c>
      <c r="I53">
        <v>3.7</v>
      </c>
      <c r="J53">
        <v>46.82</v>
      </c>
      <c r="K53">
        <v>7.91</v>
      </c>
      <c r="L53">
        <v>120</v>
      </c>
    </row>
    <row r="54" spans="1:12" x14ac:dyDescent="0.35">
      <c r="A54" s="1">
        <v>43904</v>
      </c>
      <c r="B54">
        <v>157114</v>
      </c>
      <c r="C54">
        <v>5823</v>
      </c>
      <c r="D54">
        <v>70729</v>
      </c>
      <c r="E54">
        <v>80562</v>
      </c>
      <c r="F54">
        <v>11106</v>
      </c>
      <c r="G54">
        <v>417</v>
      </c>
      <c r="H54">
        <v>2370</v>
      </c>
      <c r="I54">
        <v>3.71</v>
      </c>
      <c r="J54">
        <v>45.02</v>
      </c>
      <c r="K54">
        <v>8.23</v>
      </c>
      <c r="L54">
        <v>133</v>
      </c>
    </row>
    <row r="55" spans="1:12" x14ac:dyDescent="0.35">
      <c r="A55" s="1">
        <v>43905</v>
      </c>
      <c r="B55">
        <v>168260</v>
      </c>
      <c r="C55">
        <v>6464</v>
      </c>
      <c r="D55">
        <v>74139</v>
      </c>
      <c r="E55">
        <v>87657</v>
      </c>
      <c r="F55">
        <v>11146</v>
      </c>
      <c r="G55">
        <v>641</v>
      </c>
      <c r="H55">
        <v>3410</v>
      </c>
      <c r="I55">
        <v>3.84</v>
      </c>
      <c r="J55">
        <v>44.06</v>
      </c>
      <c r="K55">
        <v>8.7200000000000006</v>
      </c>
      <c r="L55">
        <v>137</v>
      </c>
    </row>
    <row r="56" spans="1:12" x14ac:dyDescent="0.35">
      <c r="A56" s="1">
        <v>43906</v>
      </c>
      <c r="B56">
        <v>182919</v>
      </c>
      <c r="C56">
        <v>7144</v>
      </c>
      <c r="D56">
        <v>76192</v>
      </c>
      <c r="E56">
        <v>99583</v>
      </c>
      <c r="F56">
        <v>14659</v>
      </c>
      <c r="G56">
        <v>680</v>
      </c>
      <c r="H56">
        <v>2053</v>
      </c>
      <c r="I56">
        <v>3.91</v>
      </c>
      <c r="J56">
        <v>41.65</v>
      </c>
      <c r="K56">
        <v>9.3800000000000008</v>
      </c>
      <c r="L56">
        <v>143</v>
      </c>
    </row>
    <row r="57" spans="1:12" x14ac:dyDescent="0.35">
      <c r="A57" s="1">
        <v>43907</v>
      </c>
      <c r="B57">
        <v>198757</v>
      </c>
      <c r="C57">
        <v>7948</v>
      </c>
      <c r="D57">
        <v>78944</v>
      </c>
      <c r="E57">
        <v>111865</v>
      </c>
      <c r="F57">
        <v>15838</v>
      </c>
      <c r="G57">
        <v>804</v>
      </c>
      <c r="H57">
        <v>2752</v>
      </c>
      <c r="I57">
        <v>4</v>
      </c>
      <c r="J57">
        <v>39.72</v>
      </c>
      <c r="K57">
        <v>10.07</v>
      </c>
      <c r="L57">
        <v>146</v>
      </c>
    </row>
    <row r="58" spans="1:12" x14ac:dyDescent="0.35">
      <c r="A58" s="1">
        <v>43908</v>
      </c>
      <c r="B58">
        <v>218343</v>
      </c>
      <c r="C58">
        <v>8845</v>
      </c>
      <c r="D58">
        <v>81427</v>
      </c>
      <c r="E58">
        <v>128071</v>
      </c>
      <c r="F58">
        <v>19586</v>
      </c>
      <c r="G58">
        <v>897</v>
      </c>
      <c r="H58">
        <v>2483</v>
      </c>
      <c r="I58">
        <v>4.05</v>
      </c>
      <c r="J58">
        <v>37.29</v>
      </c>
      <c r="K58">
        <v>10.86</v>
      </c>
      <c r="L58">
        <v>150</v>
      </c>
    </row>
    <row r="59" spans="1:12" x14ac:dyDescent="0.35">
      <c r="A59" s="1">
        <v>43909</v>
      </c>
      <c r="B59">
        <v>246261</v>
      </c>
      <c r="C59">
        <v>9951</v>
      </c>
      <c r="D59">
        <v>83064</v>
      </c>
      <c r="E59">
        <v>153246</v>
      </c>
      <c r="F59">
        <v>27918</v>
      </c>
      <c r="G59">
        <v>1106</v>
      </c>
      <c r="H59">
        <v>1637</v>
      </c>
      <c r="I59">
        <v>4.04</v>
      </c>
      <c r="J59">
        <v>33.729999999999997</v>
      </c>
      <c r="K59">
        <v>11.98</v>
      </c>
      <c r="L59">
        <v>154</v>
      </c>
    </row>
    <row r="60" spans="1:12" x14ac:dyDescent="0.35">
      <c r="A60" s="1">
        <v>43910</v>
      </c>
      <c r="B60">
        <v>275869</v>
      </c>
      <c r="C60">
        <v>11429</v>
      </c>
      <c r="D60">
        <v>85509</v>
      </c>
      <c r="E60">
        <v>178931</v>
      </c>
      <c r="F60">
        <v>29608</v>
      </c>
      <c r="G60">
        <v>1478</v>
      </c>
      <c r="H60">
        <v>2445</v>
      </c>
      <c r="I60">
        <v>4.1399999999999997</v>
      </c>
      <c r="J60">
        <v>31</v>
      </c>
      <c r="K60">
        <v>13.37</v>
      </c>
      <c r="L60">
        <v>161</v>
      </c>
    </row>
    <row r="61" spans="1:12" x14ac:dyDescent="0.35">
      <c r="A61" s="1">
        <v>43911</v>
      </c>
      <c r="B61">
        <v>308175</v>
      </c>
      <c r="C61">
        <v>13134</v>
      </c>
      <c r="D61">
        <v>89775</v>
      </c>
      <c r="E61">
        <v>205266</v>
      </c>
      <c r="F61">
        <v>32306</v>
      </c>
      <c r="G61">
        <v>1705</v>
      </c>
      <c r="H61">
        <v>4266</v>
      </c>
      <c r="I61">
        <v>4.26</v>
      </c>
      <c r="J61">
        <v>29.13</v>
      </c>
      <c r="K61">
        <v>14.63</v>
      </c>
      <c r="L61">
        <v>163</v>
      </c>
    </row>
    <row r="62" spans="1:12" x14ac:dyDescent="0.35">
      <c r="A62" s="1">
        <v>43912</v>
      </c>
      <c r="B62">
        <v>341585</v>
      </c>
      <c r="C62">
        <v>14831</v>
      </c>
      <c r="D62">
        <v>95990</v>
      </c>
      <c r="E62">
        <v>230764</v>
      </c>
      <c r="F62">
        <v>33410</v>
      </c>
      <c r="G62">
        <v>1697</v>
      </c>
      <c r="H62">
        <v>6215</v>
      </c>
      <c r="I62">
        <v>4.34</v>
      </c>
      <c r="J62">
        <v>28.1</v>
      </c>
      <c r="K62">
        <v>15.45</v>
      </c>
      <c r="L62">
        <v>168</v>
      </c>
    </row>
    <row r="63" spans="1:12" x14ac:dyDescent="0.35">
      <c r="A63" s="1">
        <v>43913</v>
      </c>
      <c r="B63">
        <v>383750</v>
      </c>
      <c r="C63">
        <v>16748</v>
      </c>
      <c r="D63">
        <v>96456</v>
      </c>
      <c r="E63">
        <v>270546</v>
      </c>
      <c r="F63">
        <v>42165</v>
      </c>
      <c r="G63">
        <v>1917</v>
      </c>
      <c r="H63">
        <v>466</v>
      </c>
      <c r="I63">
        <v>4.3600000000000003</v>
      </c>
      <c r="J63">
        <v>25.14</v>
      </c>
      <c r="K63">
        <v>17.36</v>
      </c>
      <c r="L63">
        <v>169</v>
      </c>
    </row>
    <row r="64" spans="1:12" x14ac:dyDescent="0.35">
      <c r="A64" s="1">
        <v>43914</v>
      </c>
      <c r="B64">
        <v>424889</v>
      </c>
      <c r="C64">
        <v>19016</v>
      </c>
      <c r="D64">
        <v>105997</v>
      </c>
      <c r="E64">
        <v>299876</v>
      </c>
      <c r="F64">
        <v>41154</v>
      </c>
      <c r="G64">
        <v>2268</v>
      </c>
      <c r="H64">
        <v>9541</v>
      </c>
      <c r="I64">
        <v>4.4800000000000004</v>
      </c>
      <c r="J64">
        <v>24.95</v>
      </c>
      <c r="K64">
        <v>17.940000000000001</v>
      </c>
      <c r="L64">
        <v>171</v>
      </c>
    </row>
    <row r="65" spans="1:12" x14ac:dyDescent="0.35">
      <c r="A65" s="1">
        <v>43915</v>
      </c>
      <c r="B65">
        <v>475706</v>
      </c>
      <c r="C65">
        <v>21793</v>
      </c>
      <c r="D65">
        <v>111445</v>
      </c>
      <c r="E65">
        <v>342468</v>
      </c>
      <c r="F65">
        <v>50817</v>
      </c>
      <c r="G65">
        <v>2777</v>
      </c>
      <c r="H65">
        <v>5448</v>
      </c>
      <c r="I65">
        <v>4.58</v>
      </c>
      <c r="J65">
        <v>23.43</v>
      </c>
      <c r="K65">
        <v>19.55</v>
      </c>
      <c r="L65">
        <v>174</v>
      </c>
    </row>
    <row r="66" spans="1:12" x14ac:dyDescent="0.35">
      <c r="A66" s="1">
        <v>43916</v>
      </c>
      <c r="B66">
        <v>538666</v>
      </c>
      <c r="C66">
        <v>24800</v>
      </c>
      <c r="D66">
        <v>119804</v>
      </c>
      <c r="E66">
        <v>394062</v>
      </c>
      <c r="F66">
        <v>62960</v>
      </c>
      <c r="G66">
        <v>3007</v>
      </c>
      <c r="H66">
        <v>8359</v>
      </c>
      <c r="I66">
        <v>4.5999999999999996</v>
      </c>
      <c r="J66">
        <v>22.24</v>
      </c>
      <c r="K66">
        <v>20.7</v>
      </c>
      <c r="L66">
        <v>175</v>
      </c>
    </row>
    <row r="67" spans="1:12" x14ac:dyDescent="0.35">
      <c r="A67" s="1">
        <v>43917</v>
      </c>
      <c r="B67">
        <v>603066</v>
      </c>
      <c r="C67">
        <v>28318</v>
      </c>
      <c r="D67">
        <v>128508</v>
      </c>
      <c r="E67">
        <v>446240</v>
      </c>
      <c r="F67">
        <v>64400</v>
      </c>
      <c r="G67">
        <v>3518</v>
      </c>
      <c r="H67">
        <v>8704</v>
      </c>
      <c r="I67">
        <v>4.7</v>
      </c>
      <c r="J67">
        <v>21.31</v>
      </c>
      <c r="K67">
        <v>22.04</v>
      </c>
      <c r="L67">
        <v>176</v>
      </c>
    </row>
    <row r="68" spans="1:12" x14ac:dyDescent="0.35">
      <c r="A68" s="1">
        <v>43918</v>
      </c>
      <c r="B68">
        <v>670723</v>
      </c>
      <c r="C68">
        <v>31997</v>
      </c>
      <c r="D68">
        <v>136800</v>
      </c>
      <c r="E68">
        <v>501926</v>
      </c>
      <c r="F68">
        <v>67657</v>
      </c>
      <c r="G68">
        <v>3679</v>
      </c>
      <c r="H68">
        <v>8292</v>
      </c>
      <c r="I68">
        <v>4.7699999999999996</v>
      </c>
      <c r="J68">
        <v>20.399999999999999</v>
      </c>
      <c r="K68">
        <v>23.39</v>
      </c>
      <c r="L68">
        <v>176</v>
      </c>
    </row>
    <row r="69" spans="1:12" x14ac:dyDescent="0.35">
      <c r="A69" s="1">
        <v>43919</v>
      </c>
      <c r="B69">
        <v>730300</v>
      </c>
      <c r="C69">
        <v>35470</v>
      </c>
      <c r="D69">
        <v>146261</v>
      </c>
      <c r="E69">
        <v>548569</v>
      </c>
      <c r="F69">
        <v>59577</v>
      </c>
      <c r="G69">
        <v>3473</v>
      </c>
      <c r="H69">
        <v>9461</v>
      </c>
      <c r="I69">
        <v>4.8600000000000003</v>
      </c>
      <c r="J69">
        <v>20.03</v>
      </c>
      <c r="K69">
        <v>24.25</v>
      </c>
      <c r="L69">
        <v>176</v>
      </c>
    </row>
    <row r="70" spans="1:12" x14ac:dyDescent="0.35">
      <c r="A70" s="1">
        <v>43920</v>
      </c>
      <c r="B70">
        <v>794939</v>
      </c>
      <c r="C70">
        <v>39634</v>
      </c>
      <c r="D70">
        <v>161707</v>
      </c>
      <c r="E70">
        <v>593598</v>
      </c>
      <c r="F70">
        <v>64639</v>
      </c>
      <c r="G70">
        <v>4164</v>
      </c>
      <c r="H70">
        <v>15446</v>
      </c>
      <c r="I70">
        <v>4.99</v>
      </c>
      <c r="J70">
        <v>20.34</v>
      </c>
      <c r="K70">
        <v>24.51</v>
      </c>
      <c r="L70">
        <v>177</v>
      </c>
    </row>
    <row r="71" spans="1:12" x14ac:dyDescent="0.35">
      <c r="A71" s="1">
        <v>43921</v>
      </c>
      <c r="B71">
        <v>871355</v>
      </c>
      <c r="C71">
        <v>44478</v>
      </c>
      <c r="D71">
        <v>174074</v>
      </c>
      <c r="E71">
        <v>652803</v>
      </c>
      <c r="F71">
        <v>76416</v>
      </c>
      <c r="G71">
        <v>4844</v>
      </c>
      <c r="H71">
        <v>12367</v>
      </c>
      <c r="I71">
        <v>5.0999999999999996</v>
      </c>
      <c r="J71">
        <v>19.98</v>
      </c>
      <c r="K71">
        <v>25.55</v>
      </c>
      <c r="L71">
        <v>179</v>
      </c>
    </row>
    <row r="72" spans="1:12" x14ac:dyDescent="0.35">
      <c r="A72" s="1">
        <v>43922</v>
      </c>
      <c r="B72">
        <v>947569</v>
      </c>
      <c r="C72">
        <v>50029</v>
      </c>
      <c r="D72">
        <v>189434</v>
      </c>
      <c r="E72">
        <v>708106</v>
      </c>
      <c r="F72">
        <v>76214</v>
      </c>
      <c r="G72">
        <v>5551</v>
      </c>
      <c r="H72">
        <v>15360</v>
      </c>
      <c r="I72">
        <v>5.28</v>
      </c>
      <c r="J72">
        <v>19.989999999999998</v>
      </c>
      <c r="K72">
        <v>26.41</v>
      </c>
      <c r="L72">
        <v>179</v>
      </c>
    </row>
    <row r="73" spans="1:12" x14ac:dyDescent="0.35">
      <c r="A73" s="1">
        <v>43923</v>
      </c>
      <c r="B73">
        <v>1028968</v>
      </c>
      <c r="C73">
        <v>56334</v>
      </c>
      <c r="D73">
        <v>206052</v>
      </c>
      <c r="E73">
        <v>766582</v>
      </c>
      <c r="F73">
        <v>81399</v>
      </c>
      <c r="G73">
        <v>6305</v>
      </c>
      <c r="H73">
        <v>16618</v>
      </c>
      <c r="I73">
        <v>5.47</v>
      </c>
      <c r="J73">
        <v>20.03</v>
      </c>
      <c r="K73">
        <v>27.34</v>
      </c>
      <c r="L73">
        <v>180</v>
      </c>
    </row>
    <row r="74" spans="1:12" x14ac:dyDescent="0.35">
      <c r="A74" s="1">
        <v>43924</v>
      </c>
      <c r="B74">
        <v>1112123</v>
      </c>
      <c r="C74">
        <v>62319</v>
      </c>
      <c r="D74">
        <v>221060</v>
      </c>
      <c r="E74">
        <v>828744</v>
      </c>
      <c r="F74">
        <v>83155</v>
      </c>
      <c r="G74">
        <v>5985</v>
      </c>
      <c r="H74">
        <v>15008</v>
      </c>
      <c r="I74">
        <v>5.6</v>
      </c>
      <c r="J74">
        <v>19.88</v>
      </c>
      <c r="K74">
        <v>28.19</v>
      </c>
      <c r="L74">
        <v>180</v>
      </c>
    </row>
    <row r="75" spans="1:12" x14ac:dyDescent="0.35">
      <c r="A75" s="1">
        <v>43925</v>
      </c>
      <c r="B75">
        <v>1192586</v>
      </c>
      <c r="C75">
        <v>68160</v>
      </c>
      <c r="D75">
        <v>241072</v>
      </c>
      <c r="E75">
        <v>883354</v>
      </c>
      <c r="F75">
        <v>80463</v>
      </c>
      <c r="G75">
        <v>5841</v>
      </c>
      <c r="H75">
        <v>20012</v>
      </c>
      <c r="I75">
        <v>5.72</v>
      </c>
      <c r="J75">
        <v>20.21</v>
      </c>
      <c r="K75">
        <v>28.27</v>
      </c>
      <c r="L75">
        <v>180</v>
      </c>
    </row>
    <row r="76" spans="1:12" x14ac:dyDescent="0.35">
      <c r="A76" s="1">
        <v>43926</v>
      </c>
      <c r="B76">
        <v>1264304</v>
      </c>
      <c r="C76">
        <v>73181</v>
      </c>
      <c r="D76">
        <v>254477</v>
      </c>
      <c r="E76">
        <v>936646</v>
      </c>
      <c r="F76">
        <v>71718</v>
      </c>
      <c r="G76">
        <v>5021</v>
      </c>
      <c r="H76">
        <v>13405</v>
      </c>
      <c r="I76">
        <v>5.79</v>
      </c>
      <c r="J76">
        <v>20.13</v>
      </c>
      <c r="K76">
        <v>28.76</v>
      </c>
      <c r="L76">
        <v>182</v>
      </c>
    </row>
    <row r="77" spans="1:12" x14ac:dyDescent="0.35">
      <c r="A77" s="1">
        <v>43927</v>
      </c>
      <c r="B77">
        <v>1336976</v>
      </c>
      <c r="C77">
        <v>79013</v>
      </c>
      <c r="D77">
        <v>270812</v>
      </c>
      <c r="E77">
        <v>987151</v>
      </c>
      <c r="F77">
        <v>72672</v>
      </c>
      <c r="G77">
        <v>5832</v>
      </c>
      <c r="H77">
        <v>16335</v>
      </c>
      <c r="I77">
        <v>5.91</v>
      </c>
      <c r="J77">
        <v>20.260000000000002</v>
      </c>
      <c r="K77">
        <v>29.18</v>
      </c>
      <c r="L77">
        <v>183</v>
      </c>
    </row>
    <row r="78" spans="1:12" x14ac:dyDescent="0.35">
      <c r="A78" s="1">
        <v>43928</v>
      </c>
      <c r="B78">
        <v>1413849</v>
      </c>
      <c r="C78">
        <v>86915</v>
      </c>
      <c r="D78">
        <v>293665</v>
      </c>
      <c r="E78">
        <v>1033269</v>
      </c>
      <c r="F78">
        <v>76873</v>
      </c>
      <c r="G78">
        <v>7902</v>
      </c>
      <c r="H78">
        <v>22853</v>
      </c>
      <c r="I78">
        <v>6.15</v>
      </c>
      <c r="J78">
        <v>20.77</v>
      </c>
      <c r="K78">
        <v>29.6</v>
      </c>
      <c r="L78">
        <v>183</v>
      </c>
    </row>
    <row r="79" spans="1:12" x14ac:dyDescent="0.35">
      <c r="A79" s="1">
        <v>43929</v>
      </c>
      <c r="B79">
        <v>1497624</v>
      </c>
      <c r="C79">
        <v>93650</v>
      </c>
      <c r="D79">
        <v>322017</v>
      </c>
      <c r="E79">
        <v>1081957</v>
      </c>
      <c r="F79">
        <v>83775</v>
      </c>
      <c r="G79">
        <v>6735</v>
      </c>
      <c r="H79">
        <v>28352</v>
      </c>
      <c r="I79">
        <v>6.25</v>
      </c>
      <c r="J79">
        <v>21.5</v>
      </c>
      <c r="K79">
        <v>29.08</v>
      </c>
      <c r="L79">
        <v>183</v>
      </c>
    </row>
    <row r="80" spans="1:12" x14ac:dyDescent="0.35">
      <c r="A80" s="1">
        <v>43930</v>
      </c>
      <c r="B80">
        <v>1584249</v>
      </c>
      <c r="C80">
        <v>101279</v>
      </c>
      <c r="D80">
        <v>346349</v>
      </c>
      <c r="E80">
        <v>1136621</v>
      </c>
      <c r="F80">
        <v>86625</v>
      </c>
      <c r="G80">
        <v>7629</v>
      </c>
      <c r="H80">
        <v>24332</v>
      </c>
      <c r="I80">
        <v>6.39</v>
      </c>
      <c r="J80">
        <v>21.86</v>
      </c>
      <c r="K80">
        <v>29.24</v>
      </c>
      <c r="L80">
        <v>183</v>
      </c>
    </row>
    <row r="81" spans="1:12" x14ac:dyDescent="0.35">
      <c r="A81" s="1">
        <v>43931</v>
      </c>
      <c r="B81">
        <v>1671907</v>
      </c>
      <c r="C81">
        <v>108551</v>
      </c>
      <c r="D81">
        <v>367477</v>
      </c>
      <c r="E81">
        <v>1195879</v>
      </c>
      <c r="F81">
        <v>87658</v>
      </c>
      <c r="G81">
        <v>7272</v>
      </c>
      <c r="H81">
        <v>21128</v>
      </c>
      <c r="I81">
        <v>6.49</v>
      </c>
      <c r="J81">
        <v>21.98</v>
      </c>
      <c r="K81">
        <v>29.54</v>
      </c>
      <c r="L81">
        <v>184</v>
      </c>
    </row>
    <row r="82" spans="1:12" x14ac:dyDescent="0.35">
      <c r="A82" s="1">
        <v>43932</v>
      </c>
      <c r="B82">
        <v>1748872</v>
      </c>
      <c r="C82">
        <v>114620</v>
      </c>
      <c r="D82">
        <v>392991</v>
      </c>
      <c r="E82">
        <v>1241261</v>
      </c>
      <c r="F82">
        <v>76965</v>
      </c>
      <c r="G82">
        <v>6069</v>
      </c>
      <c r="H82">
        <v>25514</v>
      </c>
      <c r="I82">
        <v>6.55</v>
      </c>
      <c r="J82">
        <v>22.47</v>
      </c>
      <c r="K82">
        <v>29.17</v>
      </c>
      <c r="L82">
        <v>184</v>
      </c>
    </row>
    <row r="83" spans="1:12" x14ac:dyDescent="0.35">
      <c r="A83" s="1">
        <v>43933</v>
      </c>
      <c r="B83">
        <v>1845653</v>
      </c>
      <c r="C83">
        <v>120351</v>
      </c>
      <c r="D83">
        <v>411864</v>
      </c>
      <c r="E83">
        <v>1313438</v>
      </c>
      <c r="F83">
        <v>96802</v>
      </c>
      <c r="G83">
        <v>5731</v>
      </c>
      <c r="H83">
        <v>18873</v>
      </c>
      <c r="I83">
        <v>6.52</v>
      </c>
      <c r="J83">
        <v>22.32</v>
      </c>
      <c r="K83">
        <v>29.22</v>
      </c>
      <c r="L83">
        <v>184</v>
      </c>
    </row>
    <row r="84" spans="1:12" x14ac:dyDescent="0.35">
      <c r="A84" s="1">
        <v>43934</v>
      </c>
      <c r="B84">
        <v>1915247</v>
      </c>
      <c r="C84">
        <v>126098</v>
      </c>
      <c r="D84">
        <v>438395</v>
      </c>
      <c r="E84">
        <v>1350754</v>
      </c>
      <c r="F84">
        <v>69594</v>
      </c>
      <c r="G84">
        <v>5747</v>
      </c>
      <c r="H84">
        <v>26531</v>
      </c>
      <c r="I84">
        <v>6.58</v>
      </c>
      <c r="J84">
        <v>22.89</v>
      </c>
      <c r="K84">
        <v>28.76</v>
      </c>
      <c r="L84">
        <v>184</v>
      </c>
    </row>
    <row r="85" spans="1:12" x14ac:dyDescent="0.35">
      <c r="A85" s="1">
        <v>43935</v>
      </c>
      <c r="B85">
        <v>1985174</v>
      </c>
      <c r="C85">
        <v>132996</v>
      </c>
      <c r="D85">
        <v>463014</v>
      </c>
      <c r="E85">
        <v>1389164</v>
      </c>
      <c r="F85">
        <v>69927</v>
      </c>
      <c r="G85">
        <v>6898</v>
      </c>
      <c r="H85">
        <v>24619</v>
      </c>
      <c r="I85">
        <v>6.7</v>
      </c>
      <c r="J85">
        <v>23.32</v>
      </c>
      <c r="K85">
        <v>28.72</v>
      </c>
      <c r="L85">
        <v>184</v>
      </c>
    </row>
    <row r="86" spans="1:12" x14ac:dyDescent="0.35">
      <c r="A86" s="1">
        <v>43936</v>
      </c>
      <c r="B86">
        <v>2066003</v>
      </c>
      <c r="C86">
        <v>141308</v>
      </c>
      <c r="D86">
        <v>498925</v>
      </c>
      <c r="E86">
        <v>1425770</v>
      </c>
      <c r="F86">
        <v>80829</v>
      </c>
      <c r="G86">
        <v>8312</v>
      </c>
      <c r="H86">
        <v>35911</v>
      </c>
      <c r="I86">
        <v>6.84</v>
      </c>
      <c r="J86">
        <v>24.15</v>
      </c>
      <c r="K86">
        <v>28.32</v>
      </c>
      <c r="L86">
        <v>184</v>
      </c>
    </row>
    <row r="87" spans="1:12" x14ac:dyDescent="0.35">
      <c r="A87" s="1">
        <v>43937</v>
      </c>
      <c r="B87">
        <v>2162715</v>
      </c>
      <c r="C87">
        <v>148591</v>
      </c>
      <c r="D87">
        <v>529015</v>
      </c>
      <c r="E87">
        <v>1485109</v>
      </c>
      <c r="F87">
        <v>96712</v>
      </c>
      <c r="G87">
        <v>7283</v>
      </c>
      <c r="H87">
        <v>30090</v>
      </c>
      <c r="I87">
        <v>6.87</v>
      </c>
      <c r="J87">
        <v>24.46</v>
      </c>
      <c r="K87">
        <v>28.09</v>
      </c>
      <c r="L87">
        <v>184</v>
      </c>
    </row>
    <row r="88" spans="1:12" x14ac:dyDescent="0.35">
      <c r="A88" s="1">
        <v>43938</v>
      </c>
      <c r="B88">
        <v>2250439</v>
      </c>
      <c r="C88">
        <v>157481</v>
      </c>
      <c r="D88">
        <v>554287</v>
      </c>
      <c r="E88">
        <v>1538671</v>
      </c>
      <c r="F88">
        <v>87724</v>
      </c>
      <c r="G88">
        <v>8890</v>
      </c>
      <c r="H88">
        <v>25272</v>
      </c>
      <c r="I88">
        <v>7</v>
      </c>
      <c r="J88">
        <v>24.63</v>
      </c>
      <c r="K88">
        <v>28.41</v>
      </c>
      <c r="L88">
        <v>184</v>
      </c>
    </row>
    <row r="89" spans="1:12" x14ac:dyDescent="0.35">
      <c r="A89" s="1">
        <v>43939</v>
      </c>
      <c r="B89">
        <v>2324396</v>
      </c>
      <c r="C89">
        <v>163952</v>
      </c>
      <c r="D89">
        <v>577789</v>
      </c>
      <c r="E89">
        <v>1582655</v>
      </c>
      <c r="F89">
        <v>73958</v>
      </c>
      <c r="G89">
        <v>6471</v>
      </c>
      <c r="H89">
        <v>23502</v>
      </c>
      <c r="I89">
        <v>7.05</v>
      </c>
      <c r="J89">
        <v>24.86</v>
      </c>
      <c r="K89">
        <v>28.38</v>
      </c>
      <c r="L89">
        <v>184</v>
      </c>
    </row>
    <row r="90" spans="1:12" x14ac:dyDescent="0.35">
      <c r="A90" s="1">
        <v>43940</v>
      </c>
      <c r="B90">
        <v>2404919</v>
      </c>
      <c r="C90">
        <v>168522</v>
      </c>
      <c r="D90">
        <v>608557</v>
      </c>
      <c r="E90">
        <v>1627840</v>
      </c>
      <c r="F90">
        <v>80523</v>
      </c>
      <c r="G90">
        <v>4570</v>
      </c>
      <c r="H90">
        <v>30768</v>
      </c>
      <c r="I90">
        <v>7.01</v>
      </c>
      <c r="J90">
        <v>25.3</v>
      </c>
      <c r="K90">
        <v>27.69</v>
      </c>
      <c r="L90">
        <v>184</v>
      </c>
    </row>
    <row r="91" spans="1:12" x14ac:dyDescent="0.35">
      <c r="A91" s="1">
        <v>43941</v>
      </c>
      <c r="B91">
        <v>2478258</v>
      </c>
      <c r="C91">
        <v>173965</v>
      </c>
      <c r="D91">
        <v>629862</v>
      </c>
      <c r="E91">
        <v>1674431</v>
      </c>
      <c r="F91">
        <v>73339</v>
      </c>
      <c r="G91">
        <v>5443</v>
      </c>
      <c r="H91">
        <v>21305</v>
      </c>
      <c r="I91">
        <v>7.02</v>
      </c>
      <c r="J91">
        <v>25.42</v>
      </c>
      <c r="K91">
        <v>27.62</v>
      </c>
      <c r="L91">
        <v>184</v>
      </c>
    </row>
    <row r="92" spans="1:12" x14ac:dyDescent="0.35">
      <c r="A92" s="1">
        <v>43942</v>
      </c>
      <c r="B92">
        <v>2553508</v>
      </c>
      <c r="C92">
        <v>181122</v>
      </c>
      <c r="D92">
        <v>664043</v>
      </c>
      <c r="E92">
        <v>1708343</v>
      </c>
      <c r="F92">
        <v>75250</v>
      </c>
      <c r="G92">
        <v>7157</v>
      </c>
      <c r="H92">
        <v>34181</v>
      </c>
      <c r="I92">
        <v>7.09</v>
      </c>
      <c r="J92">
        <v>26.01</v>
      </c>
      <c r="K92">
        <v>27.28</v>
      </c>
      <c r="L92">
        <v>184</v>
      </c>
    </row>
    <row r="93" spans="1:12" x14ac:dyDescent="0.35">
      <c r="A93" s="1">
        <v>43943</v>
      </c>
      <c r="B93">
        <v>2630314</v>
      </c>
      <c r="C93">
        <v>187877</v>
      </c>
      <c r="D93">
        <v>693207</v>
      </c>
      <c r="E93">
        <v>1749230</v>
      </c>
      <c r="F93">
        <v>78994</v>
      </c>
      <c r="G93">
        <v>6755</v>
      </c>
      <c r="H93">
        <v>29164</v>
      </c>
      <c r="I93">
        <v>7.14</v>
      </c>
      <c r="J93">
        <v>26.35</v>
      </c>
      <c r="K93">
        <v>27.1</v>
      </c>
      <c r="L93">
        <v>184</v>
      </c>
    </row>
    <row r="94" spans="1:12" x14ac:dyDescent="0.35">
      <c r="A94" s="1">
        <v>43944</v>
      </c>
      <c r="B94">
        <v>2719327</v>
      </c>
      <c r="C94">
        <v>194727</v>
      </c>
      <c r="D94">
        <v>721689</v>
      </c>
      <c r="E94">
        <v>1802911</v>
      </c>
      <c r="F94">
        <v>89013</v>
      </c>
      <c r="G94">
        <v>6850</v>
      </c>
      <c r="H94">
        <v>28482</v>
      </c>
      <c r="I94">
        <v>7.16</v>
      </c>
      <c r="J94">
        <v>26.54</v>
      </c>
      <c r="K94">
        <v>26.98</v>
      </c>
      <c r="L94">
        <v>184</v>
      </c>
    </row>
    <row r="95" spans="1:12" x14ac:dyDescent="0.35">
      <c r="A95" s="1">
        <v>43945</v>
      </c>
      <c r="B95">
        <v>2806267</v>
      </c>
      <c r="C95">
        <v>201401</v>
      </c>
      <c r="D95">
        <v>771329</v>
      </c>
      <c r="E95">
        <v>1833537</v>
      </c>
      <c r="F95">
        <v>96974</v>
      </c>
      <c r="G95">
        <v>6674</v>
      </c>
      <c r="H95">
        <v>49640</v>
      </c>
      <c r="I95">
        <v>7.18</v>
      </c>
      <c r="J95">
        <v>27.49</v>
      </c>
      <c r="K95">
        <v>26.11</v>
      </c>
      <c r="L95">
        <v>184</v>
      </c>
    </row>
    <row r="96" spans="1:12" x14ac:dyDescent="0.35">
      <c r="A96" s="1">
        <v>43946</v>
      </c>
      <c r="B96">
        <v>2891199</v>
      </c>
      <c r="C96">
        <v>206979</v>
      </c>
      <c r="D96">
        <v>798239</v>
      </c>
      <c r="E96">
        <v>1885981</v>
      </c>
      <c r="F96">
        <v>84932</v>
      </c>
      <c r="G96">
        <v>5578</v>
      </c>
      <c r="H96">
        <v>26910</v>
      </c>
      <c r="I96">
        <v>7.16</v>
      </c>
      <c r="J96">
        <v>27.61</v>
      </c>
      <c r="K96">
        <v>25.93</v>
      </c>
      <c r="L96">
        <v>184</v>
      </c>
    </row>
    <row r="97" spans="1:12" x14ac:dyDescent="0.35">
      <c r="A97" s="1">
        <v>43947</v>
      </c>
      <c r="B97">
        <v>2964146</v>
      </c>
      <c r="C97">
        <v>210862</v>
      </c>
      <c r="D97">
        <v>825969</v>
      </c>
      <c r="E97">
        <v>1927315</v>
      </c>
      <c r="F97">
        <v>72948</v>
      </c>
      <c r="G97">
        <v>3883</v>
      </c>
      <c r="H97">
        <v>27730</v>
      </c>
      <c r="I97">
        <v>7.11</v>
      </c>
      <c r="J97">
        <v>27.87</v>
      </c>
      <c r="K97">
        <v>25.53</v>
      </c>
      <c r="L97">
        <v>184</v>
      </c>
    </row>
    <row r="98" spans="1:12" x14ac:dyDescent="0.35">
      <c r="A98" s="1">
        <v>43948</v>
      </c>
      <c r="B98">
        <v>3032850</v>
      </c>
      <c r="C98">
        <v>215511</v>
      </c>
      <c r="D98">
        <v>852382</v>
      </c>
      <c r="E98">
        <v>1964957</v>
      </c>
      <c r="F98">
        <v>68704</v>
      </c>
      <c r="G98">
        <v>4649</v>
      </c>
      <c r="H98">
        <v>26413</v>
      </c>
      <c r="I98">
        <v>7.11</v>
      </c>
      <c r="J98">
        <v>28.1</v>
      </c>
      <c r="K98">
        <v>25.28</v>
      </c>
      <c r="L98">
        <v>184</v>
      </c>
    </row>
    <row r="99" spans="1:12" x14ac:dyDescent="0.35">
      <c r="A99" s="1">
        <v>43949</v>
      </c>
      <c r="B99">
        <v>3108149</v>
      </c>
      <c r="C99">
        <v>221974</v>
      </c>
      <c r="D99">
        <v>884680</v>
      </c>
      <c r="E99">
        <v>2001495</v>
      </c>
      <c r="F99">
        <v>75404</v>
      </c>
      <c r="G99">
        <v>6463</v>
      </c>
      <c r="H99">
        <v>32298</v>
      </c>
      <c r="I99">
        <v>7.14</v>
      </c>
      <c r="J99">
        <v>28.46</v>
      </c>
      <c r="K99">
        <v>25.09</v>
      </c>
      <c r="L99">
        <v>184</v>
      </c>
    </row>
    <row r="100" spans="1:12" x14ac:dyDescent="0.35">
      <c r="A100" s="1">
        <v>43950</v>
      </c>
      <c r="B100">
        <v>3185195</v>
      </c>
      <c r="C100">
        <v>228742</v>
      </c>
      <c r="D100">
        <v>925752</v>
      </c>
      <c r="E100">
        <v>2030701</v>
      </c>
      <c r="F100">
        <v>79558</v>
      </c>
      <c r="G100">
        <v>6768</v>
      </c>
      <c r="H100">
        <v>41072</v>
      </c>
      <c r="I100">
        <v>7.18</v>
      </c>
      <c r="J100">
        <v>29.06</v>
      </c>
      <c r="K100">
        <v>24.71</v>
      </c>
      <c r="L100">
        <v>184</v>
      </c>
    </row>
    <row r="101" spans="1:12" x14ac:dyDescent="0.35">
      <c r="A101" s="1">
        <v>43951</v>
      </c>
      <c r="B101">
        <v>3268876</v>
      </c>
      <c r="C101">
        <v>234704</v>
      </c>
      <c r="D101">
        <v>989616</v>
      </c>
      <c r="E101">
        <v>2044556</v>
      </c>
      <c r="F101">
        <v>83681</v>
      </c>
      <c r="G101">
        <v>5962</v>
      </c>
      <c r="H101">
        <v>63864</v>
      </c>
      <c r="I101">
        <v>7.18</v>
      </c>
      <c r="J101">
        <v>30.27</v>
      </c>
      <c r="K101">
        <v>23.72</v>
      </c>
      <c r="L101">
        <v>186</v>
      </c>
    </row>
    <row r="102" spans="1:12" x14ac:dyDescent="0.35">
      <c r="A102" s="1">
        <v>43952</v>
      </c>
      <c r="B102">
        <v>3355922</v>
      </c>
      <c r="C102">
        <v>239881</v>
      </c>
      <c r="D102">
        <v>1026501</v>
      </c>
      <c r="E102">
        <v>2089540</v>
      </c>
      <c r="F102">
        <v>87046</v>
      </c>
      <c r="G102">
        <v>5177</v>
      </c>
      <c r="H102">
        <v>36885</v>
      </c>
      <c r="I102">
        <v>7.15</v>
      </c>
      <c r="J102">
        <v>30.59</v>
      </c>
      <c r="K102">
        <v>23.37</v>
      </c>
      <c r="L102">
        <v>186</v>
      </c>
    </row>
    <row r="103" spans="1:12" x14ac:dyDescent="0.35">
      <c r="A103" s="1">
        <v>43953</v>
      </c>
      <c r="B103">
        <v>3437608</v>
      </c>
      <c r="C103">
        <v>245206</v>
      </c>
      <c r="D103">
        <v>1066362</v>
      </c>
      <c r="E103">
        <v>2126040</v>
      </c>
      <c r="F103">
        <v>81853</v>
      </c>
      <c r="G103">
        <v>5325</v>
      </c>
      <c r="H103">
        <v>39861</v>
      </c>
      <c r="I103">
        <v>7.13</v>
      </c>
      <c r="J103">
        <v>31.02</v>
      </c>
      <c r="K103">
        <v>22.99</v>
      </c>
      <c r="L103">
        <v>186</v>
      </c>
    </row>
    <row r="104" spans="1:12" x14ac:dyDescent="0.35">
      <c r="A104" s="1">
        <v>43954</v>
      </c>
      <c r="B104">
        <v>3515244</v>
      </c>
      <c r="C104">
        <v>248659</v>
      </c>
      <c r="D104">
        <v>1097577</v>
      </c>
      <c r="E104">
        <v>2169008</v>
      </c>
      <c r="F104">
        <v>77636</v>
      </c>
      <c r="G104">
        <v>3453</v>
      </c>
      <c r="H104">
        <v>31215</v>
      </c>
      <c r="I104">
        <v>7.07</v>
      </c>
      <c r="J104">
        <v>31.22</v>
      </c>
      <c r="K104">
        <v>22.66</v>
      </c>
      <c r="L104">
        <v>186</v>
      </c>
    </row>
    <row r="105" spans="1:12" x14ac:dyDescent="0.35">
      <c r="A105" s="1">
        <v>43955</v>
      </c>
      <c r="B105">
        <v>3591321</v>
      </c>
      <c r="C105">
        <v>252787</v>
      </c>
      <c r="D105">
        <v>1130526</v>
      </c>
      <c r="E105">
        <v>2208008</v>
      </c>
      <c r="F105">
        <v>76078</v>
      </c>
      <c r="G105">
        <v>4128</v>
      </c>
      <c r="H105">
        <v>32949</v>
      </c>
      <c r="I105">
        <v>7.04</v>
      </c>
      <c r="J105">
        <v>31.48</v>
      </c>
      <c r="K105">
        <v>22.36</v>
      </c>
      <c r="L105">
        <v>186</v>
      </c>
    </row>
    <row r="106" spans="1:12" x14ac:dyDescent="0.35">
      <c r="A106" s="1">
        <v>43956</v>
      </c>
      <c r="B106">
        <v>3671310</v>
      </c>
      <c r="C106">
        <v>258658</v>
      </c>
      <c r="D106">
        <v>1166155</v>
      </c>
      <c r="E106">
        <v>2246497</v>
      </c>
      <c r="F106">
        <v>79989</v>
      </c>
      <c r="G106">
        <v>5871</v>
      </c>
      <c r="H106">
        <v>35629</v>
      </c>
      <c r="I106">
        <v>7.05</v>
      </c>
      <c r="J106">
        <v>31.76</v>
      </c>
      <c r="K106">
        <v>22.18</v>
      </c>
      <c r="L106">
        <v>186</v>
      </c>
    </row>
    <row r="107" spans="1:12" x14ac:dyDescent="0.35">
      <c r="A107" s="1">
        <v>43957</v>
      </c>
      <c r="B107">
        <v>3761332</v>
      </c>
      <c r="C107">
        <v>265327</v>
      </c>
      <c r="D107">
        <v>1210894</v>
      </c>
      <c r="E107">
        <v>2285111</v>
      </c>
      <c r="F107">
        <v>90022</v>
      </c>
      <c r="G107">
        <v>6669</v>
      </c>
      <c r="H107">
        <v>44739</v>
      </c>
      <c r="I107">
        <v>7.05</v>
      </c>
      <c r="J107">
        <v>32.19</v>
      </c>
      <c r="K107">
        <v>21.91</v>
      </c>
      <c r="L107">
        <v>186</v>
      </c>
    </row>
    <row r="108" spans="1:12" x14ac:dyDescent="0.35">
      <c r="A108" s="1">
        <v>43958</v>
      </c>
      <c r="B108">
        <v>3850418</v>
      </c>
      <c r="C108">
        <v>270736</v>
      </c>
      <c r="D108">
        <v>1249311</v>
      </c>
      <c r="E108">
        <v>2330371</v>
      </c>
      <c r="F108">
        <v>90669</v>
      </c>
      <c r="G108">
        <v>5409</v>
      </c>
      <c r="H108">
        <v>38417</v>
      </c>
      <c r="I108">
        <v>7.03</v>
      </c>
      <c r="J108">
        <v>32.450000000000003</v>
      </c>
      <c r="K108">
        <v>21.67</v>
      </c>
      <c r="L108">
        <v>186</v>
      </c>
    </row>
    <row r="109" spans="1:12" x14ac:dyDescent="0.35">
      <c r="A109" s="1">
        <v>43959</v>
      </c>
      <c r="B109">
        <v>3941935</v>
      </c>
      <c r="C109">
        <v>276304</v>
      </c>
      <c r="D109">
        <v>1284849</v>
      </c>
      <c r="E109">
        <v>2380782</v>
      </c>
      <c r="F109">
        <v>92997</v>
      </c>
      <c r="G109">
        <v>5568</v>
      </c>
      <c r="H109">
        <v>35538</v>
      </c>
      <c r="I109">
        <v>7.01</v>
      </c>
      <c r="J109">
        <v>32.590000000000003</v>
      </c>
      <c r="K109">
        <v>21.5</v>
      </c>
      <c r="L109">
        <v>186</v>
      </c>
    </row>
    <row r="110" spans="1:12" x14ac:dyDescent="0.35">
      <c r="A110" s="1">
        <v>43960</v>
      </c>
      <c r="B110">
        <v>4027781</v>
      </c>
      <c r="C110">
        <v>280569</v>
      </c>
      <c r="D110">
        <v>1337367</v>
      </c>
      <c r="E110">
        <v>2409845</v>
      </c>
      <c r="F110">
        <v>85846</v>
      </c>
      <c r="G110">
        <v>4265</v>
      </c>
      <c r="H110">
        <v>52518</v>
      </c>
      <c r="I110">
        <v>6.97</v>
      </c>
      <c r="J110">
        <v>33.200000000000003</v>
      </c>
      <c r="K110">
        <v>20.98</v>
      </c>
      <c r="L110">
        <v>186</v>
      </c>
    </row>
    <row r="111" spans="1:12" x14ac:dyDescent="0.35">
      <c r="A111" s="1">
        <v>43961</v>
      </c>
      <c r="B111">
        <v>4104027</v>
      </c>
      <c r="C111">
        <v>284135</v>
      </c>
      <c r="D111">
        <v>1370108</v>
      </c>
      <c r="E111">
        <v>2449784</v>
      </c>
      <c r="F111">
        <v>76255</v>
      </c>
      <c r="G111">
        <v>3566</v>
      </c>
      <c r="H111">
        <v>32741</v>
      </c>
      <c r="I111">
        <v>6.92</v>
      </c>
      <c r="J111">
        <v>33.380000000000003</v>
      </c>
      <c r="K111">
        <v>20.74</v>
      </c>
      <c r="L111">
        <v>186</v>
      </c>
    </row>
    <row r="112" spans="1:12" x14ac:dyDescent="0.35">
      <c r="A112" s="1">
        <v>43962</v>
      </c>
      <c r="B112">
        <v>4180268</v>
      </c>
      <c r="C112">
        <v>287608</v>
      </c>
      <c r="D112">
        <v>1416204</v>
      </c>
      <c r="E112">
        <v>2476456</v>
      </c>
      <c r="F112">
        <v>76298</v>
      </c>
      <c r="G112">
        <v>3473</v>
      </c>
      <c r="H112">
        <v>46096</v>
      </c>
      <c r="I112">
        <v>6.88</v>
      </c>
      <c r="J112">
        <v>33.880000000000003</v>
      </c>
      <c r="K112">
        <v>20.309999999999999</v>
      </c>
      <c r="L112">
        <v>186</v>
      </c>
    </row>
    <row r="113" spans="1:12" x14ac:dyDescent="0.35">
      <c r="A113" s="1">
        <v>43963</v>
      </c>
      <c r="B113">
        <v>4263867</v>
      </c>
      <c r="C113">
        <v>293155</v>
      </c>
      <c r="D113">
        <v>1452191</v>
      </c>
      <c r="E113">
        <v>2518521</v>
      </c>
      <c r="F113">
        <v>83619</v>
      </c>
      <c r="G113">
        <v>5547</v>
      </c>
      <c r="H113">
        <v>35987</v>
      </c>
      <c r="I113">
        <v>6.88</v>
      </c>
      <c r="J113">
        <v>34.06</v>
      </c>
      <c r="K113">
        <v>20.190000000000001</v>
      </c>
      <c r="L113">
        <v>186</v>
      </c>
    </row>
    <row r="114" spans="1:12" x14ac:dyDescent="0.35">
      <c r="A114" s="1">
        <v>43964</v>
      </c>
      <c r="B114">
        <v>4348619</v>
      </c>
      <c r="C114">
        <v>298383</v>
      </c>
      <c r="D114">
        <v>1506905</v>
      </c>
      <c r="E114">
        <v>2543331</v>
      </c>
      <c r="F114">
        <v>84917</v>
      </c>
      <c r="G114">
        <v>5228</v>
      </c>
      <c r="H114">
        <v>54714</v>
      </c>
      <c r="I114">
        <v>6.86</v>
      </c>
      <c r="J114">
        <v>34.65</v>
      </c>
      <c r="K114">
        <v>19.8</v>
      </c>
      <c r="L114">
        <v>187</v>
      </c>
    </row>
    <row r="115" spans="1:12" x14ac:dyDescent="0.35">
      <c r="A115" s="1">
        <v>43965</v>
      </c>
      <c r="B115">
        <v>4445724</v>
      </c>
      <c r="C115">
        <v>303651</v>
      </c>
      <c r="D115">
        <v>1545712</v>
      </c>
      <c r="E115">
        <v>2596361</v>
      </c>
      <c r="F115">
        <v>97106</v>
      </c>
      <c r="G115">
        <v>5268</v>
      </c>
      <c r="H115">
        <v>38807</v>
      </c>
      <c r="I115">
        <v>6.83</v>
      </c>
      <c r="J115">
        <v>34.770000000000003</v>
      </c>
      <c r="K115">
        <v>19.64</v>
      </c>
      <c r="L115">
        <v>187</v>
      </c>
    </row>
    <row r="116" spans="1:12" x14ac:dyDescent="0.35">
      <c r="A116" s="1">
        <v>43966</v>
      </c>
      <c r="B116">
        <v>4542073</v>
      </c>
      <c r="C116">
        <v>308866</v>
      </c>
      <c r="D116">
        <v>1592880</v>
      </c>
      <c r="E116">
        <v>2640327</v>
      </c>
      <c r="F116">
        <v>96349</v>
      </c>
      <c r="G116">
        <v>5215</v>
      </c>
      <c r="H116">
        <v>47168</v>
      </c>
      <c r="I116">
        <v>6.8</v>
      </c>
      <c r="J116">
        <v>35.07</v>
      </c>
      <c r="K116">
        <v>19.39</v>
      </c>
      <c r="L116">
        <v>187</v>
      </c>
    </row>
    <row r="117" spans="1:12" x14ac:dyDescent="0.35">
      <c r="A117" s="1">
        <v>43967</v>
      </c>
      <c r="B117">
        <v>4637485</v>
      </c>
      <c r="C117">
        <v>313037</v>
      </c>
      <c r="D117">
        <v>1648546</v>
      </c>
      <c r="E117">
        <v>2675902</v>
      </c>
      <c r="F117">
        <v>95412</v>
      </c>
      <c r="G117">
        <v>4171</v>
      </c>
      <c r="H117">
        <v>55666</v>
      </c>
      <c r="I117">
        <v>6.75</v>
      </c>
      <c r="J117">
        <v>35.549999999999997</v>
      </c>
      <c r="K117">
        <v>18.989999999999998</v>
      </c>
      <c r="L117">
        <v>187</v>
      </c>
    </row>
    <row r="118" spans="1:12" x14ac:dyDescent="0.35">
      <c r="A118" s="1">
        <v>43968</v>
      </c>
      <c r="B118">
        <v>4715994</v>
      </c>
      <c r="C118">
        <v>316366</v>
      </c>
      <c r="D118">
        <v>1688699</v>
      </c>
      <c r="E118">
        <v>2710929</v>
      </c>
      <c r="F118">
        <v>78509</v>
      </c>
      <c r="G118">
        <v>3329</v>
      </c>
      <c r="H118">
        <v>40153</v>
      </c>
      <c r="I118">
        <v>6.71</v>
      </c>
      <c r="J118">
        <v>35.81</v>
      </c>
      <c r="K118">
        <v>18.73</v>
      </c>
      <c r="L118">
        <v>187</v>
      </c>
    </row>
    <row r="119" spans="1:12" x14ac:dyDescent="0.35">
      <c r="A119" s="1">
        <v>43969</v>
      </c>
      <c r="B119">
        <v>4804278</v>
      </c>
      <c r="C119">
        <v>319657</v>
      </c>
      <c r="D119">
        <v>1740909</v>
      </c>
      <c r="E119">
        <v>2743712</v>
      </c>
      <c r="F119">
        <v>88284</v>
      </c>
      <c r="G119">
        <v>3291</v>
      </c>
      <c r="H119">
        <v>52210</v>
      </c>
      <c r="I119">
        <v>6.65</v>
      </c>
      <c r="J119">
        <v>36.24</v>
      </c>
      <c r="K119">
        <v>18.36</v>
      </c>
      <c r="L119">
        <v>187</v>
      </c>
    </row>
    <row r="120" spans="1:12" x14ac:dyDescent="0.35">
      <c r="A120" s="1">
        <v>43970</v>
      </c>
      <c r="B120">
        <v>4900702</v>
      </c>
      <c r="C120">
        <v>324441</v>
      </c>
      <c r="D120">
        <v>1792256</v>
      </c>
      <c r="E120">
        <v>2784005</v>
      </c>
      <c r="F120">
        <v>96633</v>
      </c>
      <c r="G120">
        <v>4784</v>
      </c>
      <c r="H120">
        <v>51347</v>
      </c>
      <c r="I120">
        <v>6.62</v>
      </c>
      <c r="J120">
        <v>36.57</v>
      </c>
      <c r="K120">
        <v>18.100000000000001</v>
      </c>
      <c r="L120">
        <v>187</v>
      </c>
    </row>
    <row r="121" spans="1:12" x14ac:dyDescent="0.35">
      <c r="A121" s="1">
        <v>43971</v>
      </c>
      <c r="B121">
        <v>5003730</v>
      </c>
      <c r="C121">
        <v>329326</v>
      </c>
      <c r="D121">
        <v>1850441</v>
      </c>
      <c r="E121">
        <v>2823963</v>
      </c>
      <c r="F121">
        <v>103028</v>
      </c>
      <c r="G121">
        <v>4885</v>
      </c>
      <c r="H121">
        <v>58185</v>
      </c>
      <c r="I121">
        <v>6.58</v>
      </c>
      <c r="J121">
        <v>36.979999999999997</v>
      </c>
      <c r="K121">
        <v>17.8</v>
      </c>
      <c r="L121">
        <v>187</v>
      </c>
    </row>
    <row r="122" spans="1:12" x14ac:dyDescent="0.35">
      <c r="A122" s="1">
        <v>43972</v>
      </c>
      <c r="B122">
        <v>5110064</v>
      </c>
      <c r="C122">
        <v>334112</v>
      </c>
      <c r="D122">
        <v>1900768</v>
      </c>
      <c r="E122">
        <v>2875184</v>
      </c>
      <c r="F122">
        <v>106438</v>
      </c>
      <c r="G122">
        <v>4786</v>
      </c>
      <c r="H122">
        <v>50327</v>
      </c>
      <c r="I122">
        <v>6.54</v>
      </c>
      <c r="J122">
        <v>37.200000000000003</v>
      </c>
      <c r="K122">
        <v>17.579999999999998</v>
      </c>
      <c r="L122">
        <v>187</v>
      </c>
    </row>
    <row r="123" spans="1:12" x14ac:dyDescent="0.35">
      <c r="A123" s="1">
        <v>43973</v>
      </c>
      <c r="B123">
        <v>5216964</v>
      </c>
      <c r="C123">
        <v>339396</v>
      </c>
      <c r="D123">
        <v>2008541</v>
      </c>
      <c r="E123">
        <v>2869027</v>
      </c>
      <c r="F123">
        <v>106900</v>
      </c>
      <c r="G123">
        <v>5284</v>
      </c>
      <c r="H123">
        <v>107773</v>
      </c>
      <c r="I123">
        <v>6.51</v>
      </c>
      <c r="J123">
        <v>38.5</v>
      </c>
      <c r="K123">
        <v>16.899999999999999</v>
      </c>
      <c r="L123">
        <v>187</v>
      </c>
    </row>
    <row r="124" spans="1:12" x14ac:dyDescent="0.35">
      <c r="A124" s="1">
        <v>43974</v>
      </c>
      <c r="B124">
        <v>5322253</v>
      </c>
      <c r="C124">
        <v>343385</v>
      </c>
      <c r="D124">
        <v>2062802</v>
      </c>
      <c r="E124">
        <v>2916066</v>
      </c>
      <c r="F124">
        <v>105289</v>
      </c>
      <c r="G124">
        <v>3989</v>
      </c>
      <c r="H124">
        <v>54261</v>
      </c>
      <c r="I124">
        <v>6.45</v>
      </c>
      <c r="J124">
        <v>38.76</v>
      </c>
      <c r="K124">
        <v>16.649999999999999</v>
      </c>
      <c r="L124">
        <v>187</v>
      </c>
    </row>
    <row r="125" spans="1:12" x14ac:dyDescent="0.35">
      <c r="A125" s="1">
        <v>43975</v>
      </c>
      <c r="B125">
        <v>5417579</v>
      </c>
      <c r="C125">
        <v>346525</v>
      </c>
      <c r="D125">
        <v>2117555</v>
      </c>
      <c r="E125">
        <v>2953499</v>
      </c>
      <c r="F125">
        <v>95326</v>
      </c>
      <c r="G125">
        <v>3140</v>
      </c>
      <c r="H125">
        <v>54753</v>
      </c>
      <c r="I125">
        <v>6.4</v>
      </c>
      <c r="J125">
        <v>39.090000000000003</v>
      </c>
      <c r="K125">
        <v>16.36</v>
      </c>
      <c r="L125">
        <v>187</v>
      </c>
    </row>
    <row r="126" spans="1:12" x14ac:dyDescent="0.35">
      <c r="A126" s="1">
        <v>43976</v>
      </c>
      <c r="B126">
        <v>5504542</v>
      </c>
      <c r="C126">
        <v>347703</v>
      </c>
      <c r="D126">
        <v>2180605</v>
      </c>
      <c r="E126">
        <v>2976234</v>
      </c>
      <c r="F126">
        <v>87335</v>
      </c>
      <c r="G126">
        <v>1178</v>
      </c>
      <c r="H126">
        <v>63050</v>
      </c>
      <c r="I126">
        <v>6.32</v>
      </c>
      <c r="J126">
        <v>39.61</v>
      </c>
      <c r="K126">
        <v>15.95</v>
      </c>
      <c r="L126">
        <v>187</v>
      </c>
    </row>
    <row r="127" spans="1:12" x14ac:dyDescent="0.35">
      <c r="A127" s="1">
        <v>43977</v>
      </c>
      <c r="B127">
        <v>5597064</v>
      </c>
      <c r="C127">
        <v>351906</v>
      </c>
      <c r="D127">
        <v>2235118</v>
      </c>
      <c r="E127">
        <v>3010040</v>
      </c>
      <c r="F127">
        <v>92742</v>
      </c>
      <c r="G127">
        <v>4203</v>
      </c>
      <c r="H127">
        <v>54513</v>
      </c>
      <c r="I127">
        <v>6.29</v>
      </c>
      <c r="J127">
        <v>39.93</v>
      </c>
      <c r="K127">
        <v>15.74</v>
      </c>
      <c r="L127">
        <v>187</v>
      </c>
    </row>
    <row r="128" spans="1:12" x14ac:dyDescent="0.35">
      <c r="A128" s="1">
        <v>43978</v>
      </c>
      <c r="B128">
        <v>5699664</v>
      </c>
      <c r="C128">
        <v>357119</v>
      </c>
      <c r="D128">
        <v>2297613</v>
      </c>
      <c r="E128">
        <v>3044932</v>
      </c>
      <c r="F128">
        <v>102600</v>
      </c>
      <c r="G128">
        <v>5213</v>
      </c>
      <c r="H128">
        <v>62495</v>
      </c>
      <c r="I128">
        <v>6.27</v>
      </c>
      <c r="J128">
        <v>40.31</v>
      </c>
      <c r="K128">
        <v>15.54</v>
      </c>
      <c r="L128">
        <v>187</v>
      </c>
    </row>
    <row r="129" spans="1:12" x14ac:dyDescent="0.35">
      <c r="A129" s="1">
        <v>43979</v>
      </c>
      <c r="B129">
        <v>5818978</v>
      </c>
      <c r="C129">
        <v>361820</v>
      </c>
      <c r="D129">
        <v>2363746</v>
      </c>
      <c r="E129">
        <v>3093412</v>
      </c>
      <c r="F129">
        <v>119314</v>
      </c>
      <c r="G129">
        <v>4701</v>
      </c>
      <c r="H129">
        <v>66133</v>
      </c>
      <c r="I129">
        <v>6.22</v>
      </c>
      <c r="J129">
        <v>40.619999999999997</v>
      </c>
      <c r="K129">
        <v>15.31</v>
      </c>
      <c r="L129">
        <v>187</v>
      </c>
    </row>
    <row r="130" spans="1:12" x14ac:dyDescent="0.35">
      <c r="A130" s="1">
        <v>43980</v>
      </c>
      <c r="B130">
        <v>5940145</v>
      </c>
      <c r="C130">
        <v>366562</v>
      </c>
      <c r="D130">
        <v>2440127</v>
      </c>
      <c r="E130">
        <v>3133456</v>
      </c>
      <c r="F130">
        <v>121167</v>
      </c>
      <c r="G130">
        <v>4742</v>
      </c>
      <c r="H130">
        <v>76381</v>
      </c>
      <c r="I130">
        <v>6.17</v>
      </c>
      <c r="J130">
        <v>41.08</v>
      </c>
      <c r="K130">
        <v>15.02</v>
      </c>
      <c r="L130">
        <v>187</v>
      </c>
    </row>
    <row r="131" spans="1:12" x14ac:dyDescent="0.35">
      <c r="A131" s="1">
        <v>43981</v>
      </c>
      <c r="B131">
        <v>6077978</v>
      </c>
      <c r="C131">
        <v>370718</v>
      </c>
      <c r="D131">
        <v>2509981</v>
      </c>
      <c r="E131">
        <v>3197279</v>
      </c>
      <c r="F131">
        <v>137833</v>
      </c>
      <c r="G131">
        <v>4156</v>
      </c>
      <c r="H131">
        <v>69854</v>
      </c>
      <c r="I131">
        <v>6.1</v>
      </c>
      <c r="J131">
        <v>41.3</v>
      </c>
      <c r="K131">
        <v>14.77</v>
      </c>
      <c r="L131">
        <v>187</v>
      </c>
    </row>
    <row r="132" spans="1:12" x14ac:dyDescent="0.35">
      <c r="A132" s="1">
        <v>43982</v>
      </c>
      <c r="B132">
        <v>6185530</v>
      </c>
      <c r="C132">
        <v>373606</v>
      </c>
      <c r="D132">
        <v>2585589</v>
      </c>
      <c r="E132">
        <v>3226335</v>
      </c>
      <c r="F132">
        <v>107552</v>
      </c>
      <c r="G132">
        <v>2888</v>
      </c>
      <c r="H132">
        <v>75608</v>
      </c>
      <c r="I132">
        <v>6.04</v>
      </c>
      <c r="J132">
        <v>41.8</v>
      </c>
      <c r="K132">
        <v>14.45</v>
      </c>
      <c r="L132">
        <v>187</v>
      </c>
    </row>
    <row r="133" spans="1:12" x14ac:dyDescent="0.35">
      <c r="A133" s="1">
        <v>43983</v>
      </c>
      <c r="B133">
        <v>6280725</v>
      </c>
      <c r="C133">
        <v>376674</v>
      </c>
      <c r="D133">
        <v>2639599</v>
      </c>
      <c r="E133">
        <v>3264452</v>
      </c>
      <c r="F133">
        <v>95195</v>
      </c>
      <c r="G133">
        <v>3068</v>
      </c>
      <c r="H133">
        <v>54010</v>
      </c>
      <c r="I133">
        <v>6</v>
      </c>
      <c r="J133">
        <v>42.03</v>
      </c>
      <c r="K133">
        <v>14.27</v>
      </c>
      <c r="L133">
        <v>187</v>
      </c>
    </row>
    <row r="134" spans="1:12" x14ac:dyDescent="0.35">
      <c r="A134" s="1">
        <v>43984</v>
      </c>
      <c r="B134">
        <v>6401536</v>
      </c>
      <c r="C134">
        <v>381497</v>
      </c>
      <c r="D134">
        <v>2743083</v>
      </c>
      <c r="E134">
        <v>3276956</v>
      </c>
      <c r="F134">
        <v>121577</v>
      </c>
      <c r="G134">
        <v>4823</v>
      </c>
      <c r="H134">
        <v>103484</v>
      </c>
      <c r="I134">
        <v>5.96</v>
      </c>
      <c r="J134">
        <v>42.85</v>
      </c>
      <c r="K134">
        <v>13.91</v>
      </c>
      <c r="L134">
        <v>187</v>
      </c>
    </row>
    <row r="135" spans="1:12" x14ac:dyDescent="0.35">
      <c r="A135" s="1">
        <v>43985</v>
      </c>
      <c r="B135">
        <v>6520924</v>
      </c>
      <c r="C135">
        <v>387069</v>
      </c>
      <c r="D135">
        <v>2821430</v>
      </c>
      <c r="E135">
        <v>3312425</v>
      </c>
      <c r="F135">
        <v>119389</v>
      </c>
      <c r="G135">
        <v>5572</v>
      </c>
      <c r="H135">
        <v>78347</v>
      </c>
      <c r="I135">
        <v>5.94</v>
      </c>
      <c r="J135">
        <v>43.27</v>
      </c>
      <c r="K135">
        <v>13.72</v>
      </c>
      <c r="L135">
        <v>187</v>
      </c>
    </row>
    <row r="136" spans="1:12" x14ac:dyDescent="0.35">
      <c r="A136" s="1">
        <v>43986</v>
      </c>
      <c r="B136">
        <v>6647861</v>
      </c>
      <c r="C136">
        <v>392218</v>
      </c>
      <c r="D136">
        <v>2890776</v>
      </c>
      <c r="E136">
        <v>3364867</v>
      </c>
      <c r="F136">
        <v>126937</v>
      </c>
      <c r="G136">
        <v>5149</v>
      </c>
      <c r="H136">
        <v>69346</v>
      </c>
      <c r="I136">
        <v>5.9</v>
      </c>
      <c r="J136">
        <v>43.48</v>
      </c>
      <c r="K136">
        <v>13.57</v>
      </c>
      <c r="L136">
        <v>187</v>
      </c>
    </row>
    <row r="137" spans="1:12" x14ac:dyDescent="0.35">
      <c r="A137" s="1">
        <v>43987</v>
      </c>
      <c r="B137">
        <v>6778724</v>
      </c>
      <c r="C137">
        <v>396994</v>
      </c>
      <c r="D137">
        <v>2959037</v>
      </c>
      <c r="E137">
        <v>3422693</v>
      </c>
      <c r="F137">
        <v>130863</v>
      </c>
      <c r="G137">
        <v>4776</v>
      </c>
      <c r="H137">
        <v>68261</v>
      </c>
      <c r="I137">
        <v>5.86</v>
      </c>
      <c r="J137">
        <v>43.65</v>
      </c>
      <c r="K137">
        <v>13.42</v>
      </c>
      <c r="L137">
        <v>187</v>
      </c>
    </row>
    <row r="138" spans="1:12" x14ac:dyDescent="0.35">
      <c r="A138" s="1">
        <v>43988</v>
      </c>
      <c r="B138">
        <v>6914666</v>
      </c>
      <c r="C138">
        <v>400875</v>
      </c>
      <c r="D138">
        <v>3030214</v>
      </c>
      <c r="E138">
        <v>3483577</v>
      </c>
      <c r="F138">
        <v>135942</v>
      </c>
      <c r="G138">
        <v>3881</v>
      </c>
      <c r="H138">
        <v>71177</v>
      </c>
      <c r="I138">
        <v>5.8</v>
      </c>
      <c r="J138">
        <v>43.82</v>
      </c>
      <c r="K138">
        <v>13.23</v>
      </c>
      <c r="L138">
        <v>187</v>
      </c>
    </row>
    <row r="139" spans="1:12" x14ac:dyDescent="0.35">
      <c r="A139" s="1">
        <v>43989</v>
      </c>
      <c r="B139">
        <v>7026925</v>
      </c>
      <c r="C139">
        <v>403617</v>
      </c>
      <c r="D139">
        <v>3084718</v>
      </c>
      <c r="E139">
        <v>3538590</v>
      </c>
      <c r="F139">
        <v>112259</v>
      </c>
      <c r="G139">
        <v>2742</v>
      </c>
      <c r="H139">
        <v>54504</v>
      </c>
      <c r="I139">
        <v>5.74</v>
      </c>
      <c r="J139">
        <v>43.9</v>
      </c>
      <c r="K139">
        <v>13.08</v>
      </c>
      <c r="L139">
        <v>187</v>
      </c>
    </row>
    <row r="140" spans="1:12" x14ac:dyDescent="0.35">
      <c r="A140" s="1">
        <v>43990</v>
      </c>
      <c r="B140">
        <v>7129150</v>
      </c>
      <c r="C140">
        <v>407314</v>
      </c>
      <c r="D140">
        <v>3235640</v>
      </c>
      <c r="E140">
        <v>3486196</v>
      </c>
      <c r="F140">
        <v>102225</v>
      </c>
      <c r="G140">
        <v>3697</v>
      </c>
      <c r="H140">
        <v>150922</v>
      </c>
      <c r="I140">
        <v>5.71</v>
      </c>
      <c r="J140">
        <v>45.39</v>
      </c>
      <c r="K140">
        <v>12.59</v>
      </c>
      <c r="L140">
        <v>187</v>
      </c>
    </row>
    <row r="141" spans="1:12" x14ac:dyDescent="0.35">
      <c r="A141" s="1">
        <v>43991</v>
      </c>
      <c r="B141">
        <v>7253492</v>
      </c>
      <c r="C141">
        <v>412236</v>
      </c>
      <c r="D141">
        <v>3317121</v>
      </c>
      <c r="E141">
        <v>3524135</v>
      </c>
      <c r="F141">
        <v>124342</v>
      </c>
      <c r="G141">
        <v>4922</v>
      </c>
      <c r="H141">
        <v>81481</v>
      </c>
      <c r="I141">
        <v>5.68</v>
      </c>
      <c r="J141">
        <v>45.73</v>
      </c>
      <c r="K141">
        <v>12.43</v>
      </c>
      <c r="L141">
        <v>187</v>
      </c>
    </row>
    <row r="142" spans="1:12" x14ac:dyDescent="0.35">
      <c r="A142" s="1">
        <v>43992</v>
      </c>
      <c r="B142">
        <v>7387517</v>
      </c>
      <c r="C142">
        <v>417441</v>
      </c>
      <c r="D142">
        <v>3395154</v>
      </c>
      <c r="E142">
        <v>3574922</v>
      </c>
      <c r="F142">
        <v>134025</v>
      </c>
      <c r="G142">
        <v>5205</v>
      </c>
      <c r="H142">
        <v>78033</v>
      </c>
      <c r="I142">
        <v>5.65</v>
      </c>
      <c r="J142">
        <v>45.96</v>
      </c>
      <c r="K142">
        <v>12.3</v>
      </c>
      <c r="L142">
        <v>187</v>
      </c>
    </row>
    <row r="143" spans="1:12" x14ac:dyDescent="0.35">
      <c r="A143" s="1">
        <v>43993</v>
      </c>
      <c r="B143">
        <v>7525631</v>
      </c>
      <c r="C143">
        <v>422215</v>
      </c>
      <c r="D143">
        <v>3480121</v>
      </c>
      <c r="E143">
        <v>3623295</v>
      </c>
      <c r="F143">
        <v>138114</v>
      </c>
      <c r="G143">
        <v>4774</v>
      </c>
      <c r="H143">
        <v>84967</v>
      </c>
      <c r="I143">
        <v>5.61</v>
      </c>
      <c r="J143">
        <v>46.24</v>
      </c>
      <c r="K143">
        <v>12.13</v>
      </c>
      <c r="L143">
        <v>187</v>
      </c>
    </row>
    <row r="144" spans="1:12" x14ac:dyDescent="0.35">
      <c r="A144" s="1">
        <v>43994</v>
      </c>
      <c r="B144">
        <v>7654725</v>
      </c>
      <c r="C144">
        <v>426512</v>
      </c>
      <c r="D144">
        <v>3558933</v>
      </c>
      <c r="E144">
        <v>3669280</v>
      </c>
      <c r="F144">
        <v>129094</v>
      </c>
      <c r="G144">
        <v>4297</v>
      </c>
      <c r="H144">
        <v>78812</v>
      </c>
      <c r="I144">
        <v>5.57</v>
      </c>
      <c r="J144">
        <v>46.49</v>
      </c>
      <c r="K144">
        <v>11.98</v>
      </c>
      <c r="L144">
        <v>187</v>
      </c>
    </row>
    <row r="145" spans="1:12" x14ac:dyDescent="0.35">
      <c r="A145" s="1">
        <v>43995</v>
      </c>
      <c r="B145">
        <v>7790735</v>
      </c>
      <c r="C145">
        <v>430750</v>
      </c>
      <c r="D145">
        <v>3644048</v>
      </c>
      <c r="E145">
        <v>3715937</v>
      </c>
      <c r="F145">
        <v>136010</v>
      </c>
      <c r="G145">
        <v>4238</v>
      </c>
      <c r="H145">
        <v>85115</v>
      </c>
      <c r="I145">
        <v>5.53</v>
      </c>
      <c r="J145">
        <v>46.77</v>
      </c>
      <c r="K145">
        <v>11.82</v>
      </c>
      <c r="L145">
        <v>187</v>
      </c>
    </row>
    <row r="146" spans="1:12" x14ac:dyDescent="0.35">
      <c r="A146" s="1">
        <v>43996</v>
      </c>
      <c r="B146">
        <v>7924156</v>
      </c>
      <c r="C146">
        <v>434124</v>
      </c>
      <c r="D146">
        <v>3714006</v>
      </c>
      <c r="E146">
        <v>3776026</v>
      </c>
      <c r="F146">
        <v>133421</v>
      </c>
      <c r="G146">
        <v>3374</v>
      </c>
      <c r="H146">
        <v>69958</v>
      </c>
      <c r="I146">
        <v>5.48</v>
      </c>
      <c r="J146">
        <v>46.87</v>
      </c>
      <c r="K146">
        <v>11.69</v>
      </c>
      <c r="L146">
        <v>187</v>
      </c>
    </row>
    <row r="147" spans="1:12" x14ac:dyDescent="0.35">
      <c r="A147" s="1">
        <v>43997</v>
      </c>
      <c r="B147">
        <v>8043794</v>
      </c>
      <c r="C147">
        <v>437549</v>
      </c>
      <c r="D147">
        <v>3793406</v>
      </c>
      <c r="E147">
        <v>3812839</v>
      </c>
      <c r="F147">
        <v>119638</v>
      </c>
      <c r="G147">
        <v>3425</v>
      </c>
      <c r="H147">
        <v>79400</v>
      </c>
      <c r="I147">
        <v>5.44</v>
      </c>
      <c r="J147">
        <v>47.16</v>
      </c>
      <c r="K147">
        <v>11.53</v>
      </c>
      <c r="L147">
        <v>187</v>
      </c>
    </row>
    <row r="148" spans="1:12" x14ac:dyDescent="0.35">
      <c r="A148" s="1">
        <v>43998</v>
      </c>
      <c r="B148">
        <v>8185197</v>
      </c>
      <c r="C148">
        <v>444416</v>
      </c>
      <c r="D148">
        <v>3890800</v>
      </c>
      <c r="E148">
        <v>3849981</v>
      </c>
      <c r="F148">
        <v>141403</v>
      </c>
      <c r="G148">
        <v>6867</v>
      </c>
      <c r="H148">
        <v>97394</v>
      </c>
      <c r="I148">
        <v>5.43</v>
      </c>
      <c r="J148">
        <v>47.53</v>
      </c>
      <c r="K148">
        <v>11.42</v>
      </c>
      <c r="L148">
        <v>187</v>
      </c>
    </row>
    <row r="149" spans="1:12" x14ac:dyDescent="0.35">
      <c r="A149" s="1">
        <v>43999</v>
      </c>
      <c r="B149">
        <v>8327050</v>
      </c>
      <c r="C149">
        <v>449671</v>
      </c>
      <c r="D149">
        <v>4008201</v>
      </c>
      <c r="E149">
        <v>3869178</v>
      </c>
      <c r="F149">
        <v>141853</v>
      </c>
      <c r="G149">
        <v>5255</v>
      </c>
      <c r="H149">
        <v>117401</v>
      </c>
      <c r="I149">
        <v>5.4</v>
      </c>
      <c r="J149">
        <v>48.13</v>
      </c>
      <c r="K149">
        <v>11.22</v>
      </c>
      <c r="L149">
        <v>187</v>
      </c>
    </row>
    <row r="150" spans="1:12" x14ac:dyDescent="0.35">
      <c r="A150" s="1">
        <v>44000</v>
      </c>
      <c r="B150">
        <v>8466978</v>
      </c>
      <c r="C150">
        <v>454700</v>
      </c>
      <c r="D150">
        <v>4088826</v>
      </c>
      <c r="E150">
        <v>3923452</v>
      </c>
      <c r="F150">
        <v>139928</v>
      </c>
      <c r="G150">
        <v>5029</v>
      </c>
      <c r="H150">
        <v>80625</v>
      </c>
      <c r="I150">
        <v>5.37</v>
      </c>
      <c r="J150">
        <v>48.29</v>
      </c>
      <c r="K150">
        <v>11.12</v>
      </c>
      <c r="L150">
        <v>187</v>
      </c>
    </row>
    <row r="151" spans="1:12" x14ac:dyDescent="0.35">
      <c r="A151" s="1">
        <v>44001</v>
      </c>
      <c r="B151">
        <v>8647784</v>
      </c>
      <c r="C151">
        <v>460973</v>
      </c>
      <c r="D151">
        <v>4183298</v>
      </c>
      <c r="E151">
        <v>4003513</v>
      </c>
      <c r="F151">
        <v>180954</v>
      </c>
      <c r="G151">
        <v>6273</v>
      </c>
      <c r="H151">
        <v>94472</v>
      </c>
      <c r="I151">
        <v>5.33</v>
      </c>
      <c r="J151">
        <v>48.37</v>
      </c>
      <c r="K151">
        <v>11.02</v>
      </c>
      <c r="L151">
        <v>187</v>
      </c>
    </row>
    <row r="152" spans="1:12" x14ac:dyDescent="0.35">
      <c r="A152" s="1">
        <v>44002</v>
      </c>
      <c r="B152">
        <v>8805336</v>
      </c>
      <c r="C152">
        <v>465222</v>
      </c>
      <c r="D152">
        <v>4298603</v>
      </c>
      <c r="E152">
        <v>4041511</v>
      </c>
      <c r="F152">
        <v>157552</v>
      </c>
      <c r="G152">
        <v>4249</v>
      </c>
      <c r="H152">
        <v>115305</v>
      </c>
      <c r="I152">
        <v>5.28</v>
      </c>
      <c r="J152">
        <v>48.82</v>
      </c>
      <c r="K152">
        <v>10.82</v>
      </c>
      <c r="L152">
        <v>187</v>
      </c>
    </row>
    <row r="153" spans="1:12" x14ac:dyDescent="0.35">
      <c r="A153" s="1">
        <v>44003</v>
      </c>
      <c r="B153">
        <v>8933875</v>
      </c>
      <c r="C153">
        <v>469185</v>
      </c>
      <c r="D153">
        <v>4366875</v>
      </c>
      <c r="E153">
        <v>4097815</v>
      </c>
      <c r="F153">
        <v>128539</v>
      </c>
      <c r="G153">
        <v>3963</v>
      </c>
      <c r="H153">
        <v>68272</v>
      </c>
      <c r="I153">
        <v>5.25</v>
      </c>
      <c r="J153">
        <v>48.88</v>
      </c>
      <c r="K153">
        <v>10.74</v>
      </c>
      <c r="L153">
        <v>187</v>
      </c>
    </row>
    <row r="154" spans="1:12" x14ac:dyDescent="0.35">
      <c r="A154" s="1">
        <v>44004</v>
      </c>
      <c r="B154">
        <v>9071733</v>
      </c>
      <c r="C154">
        <v>472756</v>
      </c>
      <c r="D154">
        <v>4458093</v>
      </c>
      <c r="E154">
        <v>4140884</v>
      </c>
      <c r="F154">
        <v>137858</v>
      </c>
      <c r="G154">
        <v>3571</v>
      </c>
      <c r="H154">
        <v>91218</v>
      </c>
      <c r="I154">
        <v>5.21</v>
      </c>
      <c r="J154">
        <v>49.14</v>
      </c>
      <c r="K154">
        <v>10.6</v>
      </c>
      <c r="L154">
        <v>187</v>
      </c>
    </row>
    <row r="155" spans="1:12" x14ac:dyDescent="0.35">
      <c r="A155" s="1">
        <v>44005</v>
      </c>
      <c r="B155">
        <v>9237071</v>
      </c>
      <c r="C155">
        <v>478067</v>
      </c>
      <c r="D155">
        <v>4561696</v>
      </c>
      <c r="E155">
        <v>4197308</v>
      </c>
      <c r="F155">
        <v>165338</v>
      </c>
      <c r="G155">
        <v>5311</v>
      </c>
      <c r="H155">
        <v>103603</v>
      </c>
      <c r="I155">
        <v>5.18</v>
      </c>
      <c r="J155">
        <v>49.38</v>
      </c>
      <c r="K155">
        <v>10.48</v>
      </c>
      <c r="L155">
        <v>187</v>
      </c>
    </row>
    <row r="156" spans="1:12" x14ac:dyDescent="0.35">
      <c r="A156" s="1">
        <v>44006</v>
      </c>
      <c r="B156">
        <v>9408254</v>
      </c>
      <c r="C156">
        <v>483328</v>
      </c>
      <c r="D156">
        <v>4677005</v>
      </c>
      <c r="E156">
        <v>4247921</v>
      </c>
      <c r="F156">
        <v>171183</v>
      </c>
      <c r="G156">
        <v>5261</v>
      </c>
      <c r="H156">
        <v>115309</v>
      </c>
      <c r="I156">
        <v>5.14</v>
      </c>
      <c r="J156">
        <v>49.71</v>
      </c>
      <c r="K156">
        <v>10.33</v>
      </c>
      <c r="L156">
        <v>187</v>
      </c>
    </row>
    <row r="157" spans="1:12" x14ac:dyDescent="0.35">
      <c r="A157" s="1">
        <v>44007</v>
      </c>
      <c r="B157">
        <v>9586141</v>
      </c>
      <c r="C157">
        <v>489955</v>
      </c>
      <c r="D157">
        <v>4769458</v>
      </c>
      <c r="E157">
        <v>4326728</v>
      </c>
      <c r="F157">
        <v>177887</v>
      </c>
      <c r="G157">
        <v>6627</v>
      </c>
      <c r="H157">
        <v>92453</v>
      </c>
      <c r="I157">
        <v>5.1100000000000003</v>
      </c>
      <c r="J157">
        <v>49.75</v>
      </c>
      <c r="K157">
        <v>10.27</v>
      </c>
      <c r="L157">
        <v>187</v>
      </c>
    </row>
    <row r="158" spans="1:12" x14ac:dyDescent="0.35">
      <c r="A158" s="1">
        <v>44008</v>
      </c>
      <c r="B158">
        <v>9777487</v>
      </c>
      <c r="C158">
        <v>494782</v>
      </c>
      <c r="D158">
        <v>4875774</v>
      </c>
      <c r="E158">
        <v>4406931</v>
      </c>
      <c r="F158">
        <v>191346</v>
      </c>
      <c r="G158">
        <v>4827</v>
      </c>
      <c r="H158">
        <v>106316</v>
      </c>
      <c r="I158">
        <v>5.0599999999999996</v>
      </c>
      <c r="J158">
        <v>49.87</v>
      </c>
      <c r="K158">
        <v>10.15</v>
      </c>
      <c r="L158">
        <v>187</v>
      </c>
    </row>
    <row r="159" spans="1:12" x14ac:dyDescent="0.35">
      <c r="A159" s="1">
        <v>44009</v>
      </c>
      <c r="B159">
        <v>9955597</v>
      </c>
      <c r="C159">
        <v>499268</v>
      </c>
      <c r="D159">
        <v>4981808</v>
      </c>
      <c r="E159">
        <v>4474521</v>
      </c>
      <c r="F159">
        <v>178110</v>
      </c>
      <c r="G159">
        <v>4486</v>
      </c>
      <c r="H159">
        <v>106034</v>
      </c>
      <c r="I159">
        <v>5.01</v>
      </c>
      <c r="J159">
        <v>50.04</v>
      </c>
      <c r="K159">
        <v>10.02</v>
      </c>
      <c r="L159">
        <v>187</v>
      </c>
    </row>
    <row r="160" spans="1:12" x14ac:dyDescent="0.35">
      <c r="A160" s="1">
        <v>44010</v>
      </c>
      <c r="B160">
        <v>10117227</v>
      </c>
      <c r="C160">
        <v>502357</v>
      </c>
      <c r="D160">
        <v>5070592</v>
      </c>
      <c r="E160">
        <v>4544278</v>
      </c>
      <c r="F160">
        <v>162349</v>
      </c>
      <c r="G160">
        <v>3089</v>
      </c>
      <c r="H160">
        <v>88784</v>
      </c>
      <c r="I160">
        <v>4.97</v>
      </c>
      <c r="J160">
        <v>50.12</v>
      </c>
      <c r="K160">
        <v>9.91</v>
      </c>
      <c r="L160">
        <v>187</v>
      </c>
    </row>
    <row r="161" spans="1:12" x14ac:dyDescent="0.35">
      <c r="A161" s="1">
        <v>44011</v>
      </c>
      <c r="B161">
        <v>10275799</v>
      </c>
      <c r="C161">
        <v>506078</v>
      </c>
      <c r="D161">
        <v>5164494</v>
      </c>
      <c r="E161">
        <v>4605227</v>
      </c>
      <c r="F161">
        <v>158572</v>
      </c>
      <c r="G161">
        <v>3721</v>
      </c>
      <c r="H161">
        <v>93902</v>
      </c>
      <c r="I161">
        <v>4.92</v>
      </c>
      <c r="J161">
        <v>50.26</v>
      </c>
      <c r="K161">
        <v>9.8000000000000007</v>
      </c>
      <c r="L161">
        <v>187</v>
      </c>
    </row>
    <row r="162" spans="1:12" x14ac:dyDescent="0.35">
      <c r="A162" s="1">
        <v>44012</v>
      </c>
      <c r="B162">
        <v>10449697</v>
      </c>
      <c r="C162">
        <v>511210</v>
      </c>
      <c r="D162">
        <v>5281459</v>
      </c>
      <c r="E162">
        <v>4657028</v>
      </c>
      <c r="F162">
        <v>173898</v>
      </c>
      <c r="G162">
        <v>5132</v>
      </c>
      <c r="H162">
        <v>116965</v>
      </c>
      <c r="I162">
        <v>4.8899999999999997</v>
      </c>
      <c r="J162">
        <v>50.54</v>
      </c>
      <c r="K162">
        <v>9.68</v>
      </c>
      <c r="L162">
        <v>187</v>
      </c>
    </row>
    <row r="163" spans="1:12" x14ac:dyDescent="0.35">
      <c r="A163" s="1">
        <v>44013</v>
      </c>
      <c r="B163">
        <v>10667386</v>
      </c>
      <c r="C163">
        <v>516221</v>
      </c>
      <c r="D163">
        <v>5397083</v>
      </c>
      <c r="E163">
        <v>4754082</v>
      </c>
      <c r="F163">
        <v>217689</v>
      </c>
      <c r="G163">
        <v>5011</v>
      </c>
      <c r="H163">
        <v>115624</v>
      </c>
      <c r="I163">
        <v>4.84</v>
      </c>
      <c r="J163">
        <v>50.59</v>
      </c>
      <c r="K163">
        <v>9.56</v>
      </c>
      <c r="L163">
        <v>187</v>
      </c>
    </row>
    <row r="164" spans="1:12" x14ac:dyDescent="0.35">
      <c r="A164" s="1">
        <v>44014</v>
      </c>
      <c r="B164">
        <v>10875091</v>
      </c>
      <c r="C164">
        <v>521341</v>
      </c>
      <c r="D164">
        <v>5681477</v>
      </c>
      <c r="E164">
        <v>4672273</v>
      </c>
      <c r="F164">
        <v>207705</v>
      </c>
      <c r="G164">
        <v>5120</v>
      </c>
      <c r="H164">
        <v>284394</v>
      </c>
      <c r="I164">
        <v>4.79</v>
      </c>
      <c r="J164">
        <v>52.24</v>
      </c>
      <c r="K164">
        <v>9.18</v>
      </c>
      <c r="L164">
        <v>187</v>
      </c>
    </row>
    <row r="165" spans="1:12" x14ac:dyDescent="0.35">
      <c r="A165" s="1">
        <v>44015</v>
      </c>
      <c r="B165">
        <v>11078585</v>
      </c>
      <c r="C165">
        <v>526336</v>
      </c>
      <c r="D165">
        <v>5790942</v>
      </c>
      <c r="E165">
        <v>4761307</v>
      </c>
      <c r="F165">
        <v>203495</v>
      </c>
      <c r="G165">
        <v>4995</v>
      </c>
      <c r="H165">
        <v>109465</v>
      </c>
      <c r="I165">
        <v>4.75</v>
      </c>
      <c r="J165">
        <v>52.27</v>
      </c>
      <c r="K165">
        <v>9.09</v>
      </c>
      <c r="L165">
        <v>187</v>
      </c>
    </row>
    <row r="166" spans="1:12" x14ac:dyDescent="0.35">
      <c r="A166" s="1">
        <v>44016</v>
      </c>
      <c r="B166">
        <v>11272152</v>
      </c>
      <c r="C166">
        <v>530705</v>
      </c>
      <c r="D166">
        <v>5986375</v>
      </c>
      <c r="E166">
        <v>4755072</v>
      </c>
      <c r="F166">
        <v>193567</v>
      </c>
      <c r="G166">
        <v>4369</v>
      </c>
      <c r="H166">
        <v>195433</v>
      </c>
      <c r="I166">
        <v>4.71</v>
      </c>
      <c r="J166">
        <v>53.11</v>
      </c>
      <c r="K166">
        <v>8.8699999999999992</v>
      </c>
      <c r="L166">
        <v>187</v>
      </c>
    </row>
    <row r="167" spans="1:12" x14ac:dyDescent="0.35">
      <c r="A167" s="1">
        <v>44017</v>
      </c>
      <c r="B167">
        <v>11454847</v>
      </c>
      <c r="C167">
        <v>534150</v>
      </c>
      <c r="D167">
        <v>6105546</v>
      </c>
      <c r="E167">
        <v>4815151</v>
      </c>
      <c r="F167">
        <v>182695</v>
      </c>
      <c r="G167">
        <v>3445</v>
      </c>
      <c r="H167">
        <v>119171</v>
      </c>
      <c r="I167">
        <v>4.66</v>
      </c>
      <c r="J167">
        <v>53.3</v>
      </c>
      <c r="K167">
        <v>8.75</v>
      </c>
      <c r="L167">
        <v>187</v>
      </c>
    </row>
    <row r="168" spans="1:12" x14ac:dyDescent="0.35">
      <c r="A168" s="1">
        <v>44018</v>
      </c>
      <c r="B168">
        <v>11622190</v>
      </c>
      <c r="C168">
        <v>537947</v>
      </c>
      <c r="D168">
        <v>6228768</v>
      </c>
      <c r="E168">
        <v>4855475</v>
      </c>
      <c r="F168">
        <v>167343</v>
      </c>
      <c r="G168">
        <v>3797</v>
      </c>
      <c r="H168">
        <v>123222</v>
      </c>
      <c r="I168">
        <v>4.63</v>
      </c>
      <c r="J168">
        <v>53.59</v>
      </c>
      <c r="K168">
        <v>8.64</v>
      </c>
      <c r="L168">
        <v>187</v>
      </c>
    </row>
    <row r="169" spans="1:12" x14ac:dyDescent="0.35">
      <c r="A169" s="1">
        <v>44019</v>
      </c>
      <c r="B169">
        <v>11833034</v>
      </c>
      <c r="C169">
        <v>544054</v>
      </c>
      <c r="D169">
        <v>6373513</v>
      </c>
      <c r="E169">
        <v>4915467</v>
      </c>
      <c r="F169">
        <v>210844</v>
      </c>
      <c r="G169">
        <v>6107</v>
      </c>
      <c r="H169">
        <v>144745</v>
      </c>
      <c r="I169">
        <v>4.5999999999999996</v>
      </c>
      <c r="J169">
        <v>53.86</v>
      </c>
      <c r="K169">
        <v>8.5399999999999991</v>
      </c>
      <c r="L169">
        <v>187</v>
      </c>
    </row>
    <row r="170" spans="1:12" x14ac:dyDescent="0.35">
      <c r="A170" s="1">
        <v>44020</v>
      </c>
      <c r="B170">
        <v>12044836</v>
      </c>
      <c r="C170">
        <v>549373</v>
      </c>
      <c r="D170">
        <v>6531016</v>
      </c>
      <c r="E170">
        <v>4964447</v>
      </c>
      <c r="F170">
        <v>211802</v>
      </c>
      <c r="G170">
        <v>5319</v>
      </c>
      <c r="H170">
        <v>157503</v>
      </c>
      <c r="I170">
        <v>4.5599999999999996</v>
      </c>
      <c r="J170">
        <v>54.22</v>
      </c>
      <c r="K170">
        <v>8.41</v>
      </c>
      <c r="L170">
        <v>187</v>
      </c>
    </row>
    <row r="171" spans="1:12" x14ac:dyDescent="0.35">
      <c r="A171" s="1">
        <v>44021</v>
      </c>
      <c r="B171">
        <v>12273063</v>
      </c>
      <c r="C171">
        <v>554831</v>
      </c>
      <c r="D171">
        <v>6665237</v>
      </c>
      <c r="E171">
        <v>5052995</v>
      </c>
      <c r="F171">
        <v>228227</v>
      </c>
      <c r="G171">
        <v>5458</v>
      </c>
      <c r="H171">
        <v>134221</v>
      </c>
      <c r="I171">
        <v>4.5199999999999996</v>
      </c>
      <c r="J171">
        <v>54.31</v>
      </c>
      <c r="K171">
        <v>8.32</v>
      </c>
      <c r="L171">
        <v>187</v>
      </c>
    </row>
    <row r="172" spans="1:12" x14ac:dyDescent="0.35">
      <c r="A172" s="1">
        <v>44022</v>
      </c>
      <c r="B172">
        <v>12505640</v>
      </c>
      <c r="C172">
        <v>560142</v>
      </c>
      <c r="D172">
        <v>6804254</v>
      </c>
      <c r="E172">
        <v>5141244</v>
      </c>
      <c r="F172">
        <v>232577</v>
      </c>
      <c r="G172">
        <v>5311</v>
      </c>
      <c r="H172">
        <v>139017</v>
      </c>
      <c r="I172">
        <v>4.4800000000000004</v>
      </c>
      <c r="J172">
        <v>54.41</v>
      </c>
      <c r="K172">
        <v>8.23</v>
      </c>
      <c r="L172">
        <v>187</v>
      </c>
    </row>
    <row r="173" spans="1:12" x14ac:dyDescent="0.35">
      <c r="A173" s="1">
        <v>44023</v>
      </c>
      <c r="B173">
        <v>12721968</v>
      </c>
      <c r="C173">
        <v>565039</v>
      </c>
      <c r="D173">
        <v>6929711</v>
      </c>
      <c r="E173">
        <v>5227218</v>
      </c>
      <c r="F173">
        <v>216328</v>
      </c>
      <c r="G173">
        <v>4897</v>
      </c>
      <c r="H173">
        <v>125457</v>
      </c>
      <c r="I173">
        <v>4.4400000000000004</v>
      </c>
      <c r="J173">
        <v>54.47</v>
      </c>
      <c r="K173">
        <v>8.15</v>
      </c>
      <c r="L173">
        <v>187</v>
      </c>
    </row>
    <row r="174" spans="1:12" x14ac:dyDescent="0.35">
      <c r="A174" s="1">
        <v>44024</v>
      </c>
      <c r="B174">
        <v>12914636</v>
      </c>
      <c r="C174">
        <v>568993</v>
      </c>
      <c r="D174">
        <v>7041174</v>
      </c>
      <c r="E174">
        <v>5304469</v>
      </c>
      <c r="F174">
        <v>192668</v>
      </c>
      <c r="G174">
        <v>3954</v>
      </c>
      <c r="H174">
        <v>111463</v>
      </c>
      <c r="I174">
        <v>4.41</v>
      </c>
      <c r="J174">
        <v>54.52</v>
      </c>
      <c r="K174">
        <v>8.08</v>
      </c>
      <c r="L174">
        <v>187</v>
      </c>
    </row>
    <row r="175" spans="1:12" x14ac:dyDescent="0.35">
      <c r="A175" s="1">
        <v>44025</v>
      </c>
      <c r="B175">
        <v>13107415</v>
      </c>
      <c r="C175">
        <v>572808</v>
      </c>
      <c r="D175">
        <v>7181139</v>
      </c>
      <c r="E175">
        <v>5353468</v>
      </c>
      <c r="F175">
        <v>192779</v>
      </c>
      <c r="G175">
        <v>3815</v>
      </c>
      <c r="H175">
        <v>139965</v>
      </c>
      <c r="I175">
        <v>4.37</v>
      </c>
      <c r="J175">
        <v>54.79</v>
      </c>
      <c r="K175">
        <v>7.98</v>
      </c>
      <c r="L175">
        <v>187</v>
      </c>
    </row>
    <row r="176" spans="1:12" x14ac:dyDescent="0.35">
      <c r="A176" s="1">
        <v>44026</v>
      </c>
      <c r="B176">
        <v>13328867</v>
      </c>
      <c r="C176">
        <v>578468</v>
      </c>
      <c r="D176">
        <v>7322897</v>
      </c>
      <c r="E176">
        <v>5427502</v>
      </c>
      <c r="F176">
        <v>221452</v>
      </c>
      <c r="G176">
        <v>5660</v>
      </c>
      <c r="H176">
        <v>141758</v>
      </c>
      <c r="I176">
        <v>4.34</v>
      </c>
      <c r="J176">
        <v>54.94</v>
      </c>
      <c r="K176">
        <v>7.9</v>
      </c>
      <c r="L176">
        <v>187</v>
      </c>
    </row>
    <row r="177" spans="1:12" x14ac:dyDescent="0.35">
      <c r="A177" s="1">
        <v>44027</v>
      </c>
      <c r="B177">
        <v>13559984</v>
      </c>
      <c r="C177">
        <v>583961</v>
      </c>
      <c r="D177">
        <v>7482320</v>
      </c>
      <c r="E177">
        <v>5493703</v>
      </c>
      <c r="F177">
        <v>231122</v>
      </c>
      <c r="G177">
        <v>5493</v>
      </c>
      <c r="H177">
        <v>159423</v>
      </c>
      <c r="I177">
        <v>4.3099999999999996</v>
      </c>
      <c r="J177">
        <v>55.18</v>
      </c>
      <c r="K177">
        <v>7.8</v>
      </c>
      <c r="L177">
        <v>187</v>
      </c>
    </row>
    <row r="178" spans="1:12" x14ac:dyDescent="0.35">
      <c r="A178" s="1">
        <v>44028</v>
      </c>
      <c r="B178">
        <v>13812525</v>
      </c>
      <c r="C178">
        <v>589760</v>
      </c>
      <c r="D178">
        <v>7634241</v>
      </c>
      <c r="E178">
        <v>5588524</v>
      </c>
      <c r="F178">
        <v>252544</v>
      </c>
      <c r="G178">
        <v>5799</v>
      </c>
      <c r="H178">
        <v>151921</v>
      </c>
      <c r="I178">
        <v>4.2699999999999996</v>
      </c>
      <c r="J178">
        <v>55.27</v>
      </c>
      <c r="K178">
        <v>7.73</v>
      </c>
      <c r="L178">
        <v>187</v>
      </c>
    </row>
    <row r="179" spans="1:12" x14ac:dyDescent="0.35">
      <c r="A179" s="1">
        <v>44029</v>
      </c>
      <c r="B179">
        <v>14054563</v>
      </c>
      <c r="C179">
        <v>596503</v>
      </c>
      <c r="D179">
        <v>7793760</v>
      </c>
      <c r="E179">
        <v>5664300</v>
      </c>
      <c r="F179">
        <v>242038</v>
      </c>
      <c r="G179">
        <v>6743</v>
      </c>
      <c r="H179">
        <v>159519</v>
      </c>
      <c r="I179">
        <v>4.24</v>
      </c>
      <c r="J179">
        <v>55.45</v>
      </c>
      <c r="K179">
        <v>7.65</v>
      </c>
      <c r="L179">
        <v>187</v>
      </c>
    </row>
    <row r="180" spans="1:12" x14ac:dyDescent="0.35">
      <c r="A180" s="1">
        <v>44030</v>
      </c>
      <c r="B180">
        <v>14292198</v>
      </c>
      <c r="C180">
        <v>602130</v>
      </c>
      <c r="D180">
        <v>7944550</v>
      </c>
      <c r="E180">
        <v>5745518</v>
      </c>
      <c r="F180">
        <v>237635</v>
      </c>
      <c r="G180">
        <v>5627</v>
      </c>
      <c r="H180">
        <v>150790</v>
      </c>
      <c r="I180">
        <v>4.21</v>
      </c>
      <c r="J180">
        <v>55.59</v>
      </c>
      <c r="K180">
        <v>7.58</v>
      </c>
      <c r="L180">
        <v>187</v>
      </c>
    </row>
    <row r="181" spans="1:12" x14ac:dyDescent="0.35">
      <c r="A181" s="1">
        <v>44031</v>
      </c>
      <c r="B181">
        <v>14506845</v>
      </c>
      <c r="C181">
        <v>606159</v>
      </c>
      <c r="D181">
        <v>8032235</v>
      </c>
      <c r="E181">
        <v>5868451</v>
      </c>
      <c r="F181">
        <v>214647</v>
      </c>
      <c r="G181">
        <v>4029</v>
      </c>
      <c r="H181">
        <v>87685</v>
      </c>
      <c r="I181">
        <v>4.18</v>
      </c>
      <c r="J181">
        <v>55.37</v>
      </c>
      <c r="K181">
        <v>7.55</v>
      </c>
      <c r="L181">
        <v>187</v>
      </c>
    </row>
    <row r="182" spans="1:12" x14ac:dyDescent="0.35">
      <c r="A182" s="1">
        <v>44032</v>
      </c>
      <c r="B182">
        <v>14713623</v>
      </c>
      <c r="C182">
        <v>610319</v>
      </c>
      <c r="D182">
        <v>8190777</v>
      </c>
      <c r="E182">
        <v>5912527</v>
      </c>
      <c r="F182">
        <v>206778</v>
      </c>
      <c r="G182">
        <v>4160</v>
      </c>
      <c r="H182">
        <v>158542</v>
      </c>
      <c r="I182">
        <v>4.1500000000000004</v>
      </c>
      <c r="J182">
        <v>55.67</v>
      </c>
      <c r="K182">
        <v>7.45</v>
      </c>
      <c r="L182">
        <v>187</v>
      </c>
    </row>
    <row r="183" spans="1:12" x14ac:dyDescent="0.35">
      <c r="A183" s="1">
        <v>44033</v>
      </c>
      <c r="B183">
        <v>14947078</v>
      </c>
      <c r="C183">
        <v>616557</v>
      </c>
      <c r="D183">
        <v>8364986</v>
      </c>
      <c r="E183">
        <v>5965535</v>
      </c>
      <c r="F183">
        <v>233565</v>
      </c>
      <c r="G183">
        <v>6238</v>
      </c>
      <c r="H183">
        <v>174209</v>
      </c>
      <c r="I183">
        <v>4.12</v>
      </c>
      <c r="J183">
        <v>55.96</v>
      </c>
      <c r="K183">
        <v>7.37</v>
      </c>
      <c r="L183">
        <v>187</v>
      </c>
    </row>
    <row r="184" spans="1:12" x14ac:dyDescent="0.35">
      <c r="A184" s="1">
        <v>44034</v>
      </c>
      <c r="B184">
        <v>15227725</v>
      </c>
      <c r="C184">
        <v>623540</v>
      </c>
      <c r="D184">
        <v>8541255</v>
      </c>
      <c r="E184">
        <v>6062930</v>
      </c>
      <c r="F184">
        <v>280647</v>
      </c>
      <c r="G184">
        <v>6983</v>
      </c>
      <c r="H184">
        <v>176269</v>
      </c>
      <c r="I184">
        <v>4.09</v>
      </c>
      <c r="J184">
        <v>56.09</v>
      </c>
      <c r="K184">
        <v>7.3</v>
      </c>
      <c r="L184">
        <v>187</v>
      </c>
    </row>
    <row r="185" spans="1:12" x14ac:dyDescent="0.35">
      <c r="A185" s="1">
        <v>44035</v>
      </c>
      <c r="B185">
        <v>15510481</v>
      </c>
      <c r="C185">
        <v>633506</v>
      </c>
      <c r="D185">
        <v>8710969</v>
      </c>
      <c r="E185">
        <v>6166006</v>
      </c>
      <c r="F185">
        <v>282756</v>
      </c>
      <c r="G185">
        <v>9966</v>
      </c>
      <c r="H185">
        <v>169714</v>
      </c>
      <c r="I185">
        <v>4.08</v>
      </c>
      <c r="J185">
        <v>56.16</v>
      </c>
      <c r="K185">
        <v>7.27</v>
      </c>
      <c r="L185">
        <v>187</v>
      </c>
    </row>
    <row r="186" spans="1:12" x14ac:dyDescent="0.35">
      <c r="A186" s="1">
        <v>44036</v>
      </c>
      <c r="B186">
        <v>15791645</v>
      </c>
      <c r="C186">
        <v>639650</v>
      </c>
      <c r="D186">
        <v>8939705</v>
      </c>
      <c r="E186">
        <v>6212290</v>
      </c>
      <c r="F186">
        <v>281164</v>
      </c>
      <c r="G186">
        <v>6144</v>
      </c>
      <c r="H186">
        <v>228736</v>
      </c>
      <c r="I186">
        <v>4.05</v>
      </c>
      <c r="J186">
        <v>56.61</v>
      </c>
      <c r="K186">
        <v>7.16</v>
      </c>
      <c r="L186">
        <v>187</v>
      </c>
    </row>
    <row r="187" spans="1:12" x14ac:dyDescent="0.35">
      <c r="A187" s="1">
        <v>44037</v>
      </c>
      <c r="B187">
        <v>16047190</v>
      </c>
      <c r="C187">
        <v>644517</v>
      </c>
      <c r="D187">
        <v>9158743</v>
      </c>
      <c r="E187">
        <v>6243930</v>
      </c>
      <c r="F187">
        <v>255545</v>
      </c>
      <c r="G187">
        <v>4867</v>
      </c>
      <c r="H187">
        <v>219038</v>
      </c>
      <c r="I187">
        <v>4.0199999999999996</v>
      </c>
      <c r="J187">
        <v>57.07</v>
      </c>
      <c r="K187">
        <v>7.04</v>
      </c>
      <c r="L187">
        <v>187</v>
      </c>
    </row>
    <row r="188" spans="1:12" x14ac:dyDescent="0.35">
      <c r="A188" s="1">
        <v>44038</v>
      </c>
      <c r="B188">
        <v>16251796</v>
      </c>
      <c r="C188">
        <v>648621</v>
      </c>
      <c r="D188">
        <v>9293464</v>
      </c>
      <c r="E188">
        <v>6309711</v>
      </c>
      <c r="F188">
        <v>204606</v>
      </c>
      <c r="G188">
        <v>4104</v>
      </c>
      <c r="H188">
        <v>134721</v>
      </c>
      <c r="I188">
        <v>3.99</v>
      </c>
      <c r="J188">
        <v>57.18</v>
      </c>
      <c r="K188">
        <v>6.98</v>
      </c>
      <c r="L188">
        <v>187</v>
      </c>
    </row>
    <row r="189" spans="1:12" x14ac:dyDescent="0.35">
      <c r="A189" s="1">
        <v>44039</v>
      </c>
      <c r="B189">
        <v>16480485</v>
      </c>
      <c r="C189">
        <v>654036</v>
      </c>
      <c r="D189">
        <v>9468087</v>
      </c>
      <c r="E189">
        <v>6358362</v>
      </c>
      <c r="F189">
        <v>228693</v>
      </c>
      <c r="G189">
        <v>5415</v>
      </c>
      <c r="H189">
        <v>174623</v>
      </c>
      <c r="I189">
        <v>3.97</v>
      </c>
      <c r="J189">
        <v>57.45</v>
      </c>
      <c r="K189">
        <v>6.91</v>
      </c>
      <c r="L189">
        <v>187</v>
      </c>
    </row>
  </sheetData>
  <mergeCells count="1">
    <mergeCell ref="M1: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0CE6-DB37-498F-8305-15C042333C19}">
  <dimension ref="A1:F10"/>
  <sheetViews>
    <sheetView workbookViewId="0">
      <selection activeCell="C10" sqref="C10"/>
    </sheetView>
  </sheetViews>
  <sheetFormatPr defaultRowHeight="14.5" x14ac:dyDescent="0.35"/>
  <cols>
    <col min="1" max="1" width="12.453125" bestFit="1" customWidth="1"/>
    <col min="2" max="2" width="17.08984375" bestFit="1" customWidth="1"/>
    <col min="3" max="3" width="15.90625" bestFit="1" customWidth="1"/>
    <col min="4" max="4" width="22.54296875" bestFit="1" customWidth="1"/>
    <col min="5" max="5" width="23.453125" bestFit="1" customWidth="1"/>
    <col min="6" max="6" width="31.26953125" bestFit="1" customWidth="1"/>
    <col min="7" max="7" width="16.36328125" bestFit="1" customWidth="1"/>
  </cols>
  <sheetData>
    <row r="1" spans="1:6" x14ac:dyDescent="0.35">
      <c r="A1" s="6" t="s">
        <v>17</v>
      </c>
      <c r="B1" t="s">
        <v>71</v>
      </c>
      <c r="C1" t="s">
        <v>32</v>
      </c>
      <c r="D1" t="s">
        <v>40</v>
      </c>
      <c r="E1" t="s">
        <v>72</v>
      </c>
      <c r="F1" t="s">
        <v>70</v>
      </c>
    </row>
    <row r="2" spans="1:6" x14ac:dyDescent="0.35">
      <c r="A2" s="7" t="s">
        <v>24</v>
      </c>
      <c r="B2">
        <v>213</v>
      </c>
      <c r="C2">
        <v>9375</v>
      </c>
      <c r="D2">
        <v>23.918231453611959</v>
      </c>
      <c r="E2" s="24">
        <v>2.5680672239973491E-2</v>
      </c>
      <c r="F2">
        <v>0.95518243629002964</v>
      </c>
    </row>
    <row r="3" spans="1:6" x14ac:dyDescent="0.35">
      <c r="A3" s="7" t="s">
        <v>25</v>
      </c>
      <c r="B3">
        <v>2936</v>
      </c>
      <c r="C3">
        <v>75379</v>
      </c>
      <c r="D3">
        <v>6.8459917324992627</v>
      </c>
      <c r="E3" s="24">
        <v>2.6434503359104591E-2</v>
      </c>
      <c r="F3">
        <v>0.75319534193359894</v>
      </c>
    </row>
    <row r="4" spans="1:6" x14ac:dyDescent="0.35">
      <c r="A4" s="7" t="s">
        <v>26</v>
      </c>
      <c r="B4">
        <v>44478</v>
      </c>
      <c r="C4">
        <v>786064</v>
      </c>
      <c r="D4">
        <v>7.1686670561938772</v>
      </c>
      <c r="E4" s="24">
        <v>4.0107990769644504E-2</v>
      </c>
      <c r="F4">
        <v>0.66210868489466901</v>
      </c>
    </row>
    <row r="5" spans="1:6" x14ac:dyDescent="0.35">
      <c r="A5" s="7" t="s">
        <v>27</v>
      </c>
      <c r="B5">
        <v>234704</v>
      </c>
      <c r="C5">
        <v>2412383</v>
      </c>
      <c r="D5">
        <v>4.3142687661829902</v>
      </c>
      <c r="E5" s="24">
        <v>6.6219837523246491E-2</v>
      </c>
      <c r="F5">
        <v>0.6804747917793984</v>
      </c>
    </row>
    <row r="6" spans="1:6" x14ac:dyDescent="0.35">
      <c r="A6" s="7" t="s">
        <v>28</v>
      </c>
      <c r="B6">
        <v>373606</v>
      </c>
      <c r="C6">
        <v>2921042</v>
      </c>
      <c r="D6">
        <v>2.039442716486433</v>
      </c>
      <c r="E6" s="24">
        <v>6.6862636293121711E-2</v>
      </c>
      <c r="F6">
        <v>0.56903048456332617</v>
      </c>
    </row>
    <row r="7" spans="1:6" x14ac:dyDescent="0.35">
      <c r="A7" s="7" t="s">
        <v>29</v>
      </c>
      <c r="B7">
        <v>511210</v>
      </c>
      <c r="C7">
        <v>4265801</v>
      </c>
      <c r="D7">
        <v>1.7332379643953331</v>
      </c>
      <c r="E7" s="24">
        <v>5.4475141230248228E-2</v>
      </c>
      <c r="F7">
        <v>0.47148197928681596</v>
      </c>
    </row>
    <row r="8" spans="1:6" x14ac:dyDescent="0.35">
      <c r="A8" s="7" t="s">
        <v>30</v>
      </c>
      <c r="B8">
        <v>654036</v>
      </c>
      <c r="C8">
        <v>6030911</v>
      </c>
      <c r="D8">
        <v>1.6731232316176303</v>
      </c>
      <c r="E8" s="24">
        <v>4.362606370255246E-2</v>
      </c>
      <c r="F8">
        <v>0.40670610538371327</v>
      </c>
    </row>
    <row r="9" spans="1:6" x14ac:dyDescent="0.35">
      <c r="A9" s="7" t="s">
        <v>18</v>
      </c>
      <c r="B9">
        <v>654036</v>
      </c>
      <c r="C9">
        <v>16500955</v>
      </c>
      <c r="D9">
        <v>5.0519521643761349</v>
      </c>
      <c r="E9" s="24">
        <v>4.8607711921985555E-2</v>
      </c>
      <c r="F9">
        <v>0.47883076470422908</v>
      </c>
    </row>
    <row r="10" spans="1:6" x14ac:dyDescent="0.35">
      <c r="B10">
        <f>VLOOKUP(A2,A1:F9,2,)</f>
        <v>213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CCB3207B-1A83-4480-BC03-D8A01506CEE1}">
  <ds:schemaRefs/>
</ds:datastoreItem>
</file>

<file path=customXml/itemProps2.xml><?xml version="1.0" encoding="utf-8"?>
<ds:datastoreItem xmlns:ds="http://schemas.openxmlformats.org/officeDocument/2006/customXml" ds:itemID="{86D385A1-740E-425F-8032-BE9C81C94EF4}">
  <ds:schemaRefs/>
</ds:datastoreItem>
</file>

<file path=customXml/itemProps3.xml><?xml version="1.0" encoding="utf-8"?>
<ds:datastoreItem xmlns:ds="http://schemas.openxmlformats.org/officeDocument/2006/customXml" ds:itemID="{3A5A7937-2254-4B3D-B64A-D69FD5D27258}">
  <ds:schemaRefs/>
</ds:datastoreItem>
</file>

<file path=customXml/itemProps4.xml><?xml version="1.0" encoding="utf-8"?>
<ds:datastoreItem xmlns:ds="http://schemas.openxmlformats.org/officeDocument/2006/customXml" ds:itemID="{FF16762A-71B5-40C8-A3CA-EB05A8E66656}">
  <ds:schemaRefs/>
</ds:datastoreItem>
</file>

<file path=customXml/itemProps5.xml><?xml version="1.0" encoding="utf-8"?>
<ds:datastoreItem xmlns:ds="http://schemas.openxmlformats.org/officeDocument/2006/customXml" ds:itemID="{966675FA-EBF0-46E2-BACD-2FC1E4AC3626}">
  <ds:schemaRefs/>
</ds:datastoreItem>
</file>

<file path=customXml/itemProps6.xml><?xml version="1.0" encoding="utf-8"?>
<ds:datastoreItem xmlns:ds="http://schemas.openxmlformats.org/officeDocument/2006/customXml" ds:itemID="{0D4EC2D0-75B0-45CE-9939-7E6664B48750}">
  <ds:schemaRefs/>
</ds:datastoreItem>
</file>

<file path=customXml/itemProps7.xml><?xml version="1.0" encoding="utf-8"?>
<ds:datastoreItem xmlns:ds="http://schemas.openxmlformats.org/officeDocument/2006/customXml" ds:itemID="{6C717036-CA59-46CA-878F-D95B7821D063}">
  <ds:schemaRefs/>
</ds:datastoreItem>
</file>

<file path=customXml/itemProps8.xml><?xml version="1.0" encoding="utf-8"?>
<ds:datastoreItem xmlns:ds="http://schemas.openxmlformats.org/officeDocument/2006/customXml" ds:itemID="{6ED46DE6-8342-4B2A-9141-A7F1F54B888F}">
  <ds:schemaRefs/>
</ds:datastoreItem>
</file>

<file path=customXml/itemProps9.xml><?xml version="1.0" encoding="utf-8"?>
<ds:datastoreItem xmlns:ds="http://schemas.openxmlformats.org/officeDocument/2006/customXml" ds:itemID="{9D3A3531-BE1B-40D9-A753-018125F5D821}">
  <ds:schemaRefs/>
</ds:datastoreItem>
</file>

<file path=customXml/itemProps10.xml><?xml version="1.0" encoding="utf-8"?>
<ds:datastoreItem xmlns:ds="http://schemas.openxmlformats.org/officeDocument/2006/customXml" ds:itemID="{7C6FA25E-BA52-4AEC-A6FA-9BD3036FB4FE}">
  <ds:schemaRefs/>
</ds:datastoreItem>
</file>

<file path=customXml/itemProps11.xml><?xml version="1.0" encoding="utf-8"?>
<ds:datastoreItem xmlns:ds="http://schemas.openxmlformats.org/officeDocument/2006/customXml" ds:itemID="{B9E53A46-D26E-4CC0-96AF-21FBBAFC62E4}">
  <ds:schemaRefs/>
</ds:datastoreItem>
</file>

<file path=customXml/itemProps12.xml><?xml version="1.0" encoding="utf-8"?>
<ds:datastoreItem xmlns:ds="http://schemas.openxmlformats.org/officeDocument/2006/customXml" ds:itemID="{881779FD-205E-4CC0-AC35-716DC32432AB}">
  <ds:schemaRefs/>
</ds:datastoreItem>
</file>

<file path=customXml/itemProps13.xml><?xml version="1.0" encoding="utf-8"?>
<ds:datastoreItem xmlns:ds="http://schemas.openxmlformats.org/officeDocument/2006/customXml" ds:itemID="{80B155C8-0C6B-4841-853A-0B51249FF478}">
  <ds:schemaRefs/>
</ds:datastoreItem>
</file>

<file path=customXml/itemProps14.xml><?xml version="1.0" encoding="utf-8"?>
<ds:datastoreItem xmlns:ds="http://schemas.openxmlformats.org/officeDocument/2006/customXml" ds:itemID="{60087BB6-4A28-479D-BA18-8F8685367DA5}">
  <ds:schemaRefs>
    <ds:schemaRef ds:uri="http://schemas.microsoft.com/DataMashup"/>
  </ds:schemaRefs>
</ds:datastoreItem>
</file>

<file path=customXml/itemProps15.xml><?xml version="1.0" encoding="utf-8"?>
<ds:datastoreItem xmlns:ds="http://schemas.openxmlformats.org/officeDocument/2006/customXml" ds:itemID="{BA1106FA-90A6-4917-B80B-BD1DB76770A0}">
  <ds:schemaRefs/>
</ds:datastoreItem>
</file>

<file path=customXml/itemProps16.xml><?xml version="1.0" encoding="utf-8"?>
<ds:datastoreItem xmlns:ds="http://schemas.openxmlformats.org/officeDocument/2006/customXml" ds:itemID="{24AE69FA-C3FA-424C-9D09-EA00C728C473}">
  <ds:schemaRefs/>
</ds:datastoreItem>
</file>

<file path=customXml/itemProps17.xml><?xml version="1.0" encoding="utf-8"?>
<ds:datastoreItem xmlns:ds="http://schemas.openxmlformats.org/officeDocument/2006/customXml" ds:itemID="{8F49EDAA-AB90-419F-9509-A76817432E1D}">
  <ds:schemaRefs/>
</ds:datastoreItem>
</file>

<file path=customXml/itemProps18.xml><?xml version="1.0" encoding="utf-8"?>
<ds:datastoreItem xmlns:ds="http://schemas.openxmlformats.org/officeDocument/2006/customXml" ds:itemID="{AEDBFE92-69BB-467D-8AFD-4112F3CADFCA}">
  <ds:schemaRefs/>
</ds:datastoreItem>
</file>

<file path=customXml/itemProps19.xml><?xml version="1.0" encoding="utf-8"?>
<ds:datastoreItem xmlns:ds="http://schemas.openxmlformats.org/officeDocument/2006/customXml" ds:itemID="{9E78677E-A7C6-4828-924C-4CD5FC3F53B9}">
  <ds:schemaRefs/>
</ds:datastoreItem>
</file>

<file path=customXml/itemProps20.xml><?xml version="1.0" encoding="utf-8"?>
<ds:datastoreItem xmlns:ds="http://schemas.openxmlformats.org/officeDocument/2006/customXml" ds:itemID="{22C54A97-4E98-4950-9C9F-81365E6814C6}">
  <ds:schemaRefs/>
</ds:datastoreItem>
</file>

<file path=customXml/itemProps21.xml><?xml version="1.0" encoding="utf-8"?>
<ds:datastoreItem xmlns:ds="http://schemas.openxmlformats.org/officeDocument/2006/customXml" ds:itemID="{DCA6CD59-32F4-4FCF-A57E-5B74533ACE86}">
  <ds:schemaRefs/>
</ds:datastoreItem>
</file>

<file path=customXml/itemProps22.xml><?xml version="1.0" encoding="utf-8"?>
<ds:datastoreItem xmlns:ds="http://schemas.openxmlformats.org/officeDocument/2006/customXml" ds:itemID="{D3AD7518-D0F5-4A1D-9519-D2241366401C}">
  <ds:schemaRefs/>
</ds:datastoreItem>
</file>

<file path=customXml/itemProps23.xml><?xml version="1.0" encoding="utf-8"?>
<ds:datastoreItem xmlns:ds="http://schemas.openxmlformats.org/officeDocument/2006/customXml" ds:itemID="{51B9B11A-0B65-4735-BE3D-09880C944990}">
  <ds:schemaRefs/>
</ds:datastoreItem>
</file>

<file path=customXml/itemProps24.xml><?xml version="1.0" encoding="utf-8"?>
<ds:datastoreItem xmlns:ds="http://schemas.openxmlformats.org/officeDocument/2006/customXml" ds:itemID="{96890271-AF8E-4DB2-B9F3-5E239597BF14}">
  <ds:schemaRefs/>
</ds:datastoreItem>
</file>

<file path=customXml/itemProps25.xml><?xml version="1.0" encoding="utf-8"?>
<ds:datastoreItem xmlns:ds="http://schemas.openxmlformats.org/officeDocument/2006/customXml" ds:itemID="{5F7D7EF7-3DEA-4039-9BE0-C6F55F04E817}">
  <ds:schemaRefs/>
</ds:datastoreItem>
</file>

<file path=customXml/itemProps26.xml><?xml version="1.0" encoding="utf-8"?>
<ds:datastoreItem xmlns:ds="http://schemas.openxmlformats.org/officeDocument/2006/customXml" ds:itemID="{71BEB9C3-7906-4FE5-8BA7-4AE3EB632AF0}">
  <ds:schemaRefs/>
</ds:datastoreItem>
</file>

<file path=customXml/itemProps27.xml><?xml version="1.0" encoding="utf-8"?>
<ds:datastoreItem xmlns:ds="http://schemas.openxmlformats.org/officeDocument/2006/customXml" ds:itemID="{5573B653-CF4F-4A6F-89F3-91AEEB5926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day_wise - cleaned data</vt:lpstr>
      <vt:lpstr>DASHBOARD</vt:lpstr>
      <vt:lpstr>Pivot Table 1 - 2</vt:lpstr>
      <vt:lpstr>Pivot Table 1 &amp; 2</vt:lpstr>
      <vt:lpstr>Pivot Table 3 &amp; 4</vt:lpstr>
      <vt:lpstr>Pivot Table 3 - 4</vt:lpstr>
      <vt:lpstr>Pivot Tables 5 &amp; 6</vt:lpstr>
      <vt:lpstr>Pivot Table 5 - 6</vt:lpstr>
      <vt:lpstr>Business Analytics Questions</vt:lpstr>
      <vt:lpstr>Forecast Sheet </vt:lpstr>
      <vt:lpstr>day_wise - raw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Dimpy</dc:creator>
  <cp:lastModifiedBy>Dimpy Bhardwaj</cp:lastModifiedBy>
  <dcterms:created xsi:type="dcterms:W3CDTF">2026-06-10T07:55:08Z</dcterms:created>
  <dcterms:modified xsi:type="dcterms:W3CDTF">2026-06-17T10:26:05Z</dcterms:modified>
</cp:coreProperties>
</file>